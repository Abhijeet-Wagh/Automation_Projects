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veritastech-my.sharepoint.com/personal/abhijeet_wagh_veritas_com/Documents/Documents/Work items/AMS/Quota and Commissions Review/Commissions Review/FY25/"/>
    </mc:Choice>
  </mc:AlternateContent>
  <xr:revisionPtr revIDLastSave="1224" documentId="8_{0C42E8D8-BF4A-4F37-917B-9B1ACF25466A}" xr6:coauthVersionLast="47" xr6:coauthVersionMax="47" xr10:uidLastSave="{143DEA57-ECA3-45DA-8558-611FDA0377A7}"/>
  <bookViews>
    <workbookView xWindow="-28920" yWindow="-120" windowWidth="29040" windowHeight="15720" tabRatio="753" activeTab="3" xr2:uid="{F7196379-A200-4E17-AA88-8D9CDA3FCA97}"/>
  </bookViews>
  <sheets>
    <sheet name="Summary" sheetId="29" r:id="rId1"/>
    <sheet name="Names" sheetId="34" r:id="rId2"/>
    <sheet name="Template" sheetId="125" r:id="rId3"/>
    <sheet name="Aaron_Spencer Sample output" sheetId="478" r:id="rId4"/>
  </sheets>
  <externalReferences>
    <externalReference r:id="rId5"/>
    <externalReference r:id="rId6"/>
    <externalReference r:id="rId7"/>
    <externalReference r:id="rId8"/>
  </externalReferences>
  <definedNames>
    <definedName name="__A112" hidden="1">{#N/A,#N/A,TRUE,"BUDGET SYNTHESE";#N/A,#N/A,TRUE,"SALAIRES";#N/A,#N/A,TRUE,"REVENUES";#N/A,#N/A,TRUE,"PRODUITS ET CHARGES FINANCIERES"}</definedName>
    <definedName name="_A112" hidden="1">{#N/A,#N/A,TRUE,"BUDGET SYNTHESE";#N/A,#N/A,TRUE,"SALAIRES";#N/A,#N/A,TRUE,"REVENUES";#N/A,#N/A,TRUE,"PRODUITS ET CHARGES FINANCIERES"}</definedName>
    <definedName name="_xlnm._FilterDatabase" localSheetId="3" hidden="1">'Aaron_Spencer Sample output'!$B$51:$L$1130</definedName>
    <definedName name="_xlnm._FilterDatabase" localSheetId="2" hidden="1">Template!$B$51:$L$129</definedName>
    <definedName name="AA" hidden="1">{#N/A,#N/A,TRUE,"BUDGET SYNTHESE";#N/A,#N/A,TRUE,"SALAIRES";#N/A,#N/A,TRUE,"REVENUES";#N/A,#N/A,TRUE,"PRODUITS ET CHARGES FINANCIERES"}</definedName>
    <definedName name="aaaa" hidden="1">{#N/A,#N/A,TRUE,"BUDGET SYNTHESE";#N/A,#N/A,TRUE,"SALAIRES";#N/A,#N/A,TRUE,"REVENUES";#N/A,#N/A,TRUE,"PRODUITS ET CHARGES FINANCIERES"}</definedName>
    <definedName name="AS2DocOpenMode" hidden="1">"AS2DocumentEdit"</definedName>
    <definedName name="BB" hidden="1">{#N/A,#N/A,TRUE,"BUDGET SYNTHESE";#N/A,#N/A,TRUE,"SALAIRES";#N/A,#N/A,TRUE,"REVENUES";#N/A,#N/A,TRUE,"PRODUITS ET CHARGES FINANCIERES"}</definedName>
    <definedName name="ccc" hidden="1">{#N/A,#N/A,TRUE,"BUDGET SYNTHESE";#N/A,#N/A,TRUE,"SALAIRES";#N/A,#N/A,TRUE,"REVENUES";#N/A,#N/A,TRUE,"PRODUITS ET CHARGES FINANCIERES"}</definedName>
    <definedName name="Customers" hidden="1">{#N/A,#N/A,TRUE,"BUDGET SYNTHESE";#N/A,#N/A,TRUE,"SALAIRES";#N/A,#N/A,TRUE,"REVENUES";#N/A,#N/A,TRUE,"PRODUITS ET CHARGES FINANCIERES"}</definedName>
    <definedName name="Database_Spot">#REF!</definedName>
    <definedName name="EA" hidden="1">{#N/A,#N/A,TRUE,"BUDGET SYNTHESE";#N/A,#N/A,TRUE,"SALAIRES";#N/A,#N/A,TRUE,"REVENUES";#N/A,#N/A,TRUE,"PRODUITS ET CHARGES FINANCIERES"}</definedName>
    <definedName name="EAB" hidden="1">{#N/A,#N/A,TRUE,"BUDGET SYNTHESE";#N/A,#N/A,TRUE,"REVENUES";#N/A,#N/A,TRUE,"SALAIRES";#N/A,#N/A,TRUE,"REPARTITION DES CHARGES ";#N/A,#N/A,TRUE,"RESULTAT FINANCIER";#N/A,#N/A,TRUE,"TAXES FISCALES ET SOCIALES"}</definedName>
    <definedName name="EB" hidden="1">{#N/A,#N/A,TRUE,"BUDGET SYNTHESE";#N/A,#N/A,TRUE,"SALAIRES";#N/A,#N/A,TRUE,"REVENUES";#N/A,#N/A,TRUE,"PRODUITS ET CHARGES FINANCIERES"}</definedName>
    <definedName name="Ebm" hidden="1">{#N/A,#N/A,TRUE,"BUDGET SYNTHESE";#N/A,#N/A,TRUE,"SALAIRES";#N/A,#N/A,TRUE,"REVENUES";#N/A,#N/A,TRUE,"PRODUITS ET CHARGES FINANCIERES"}</definedName>
    <definedName name="EDFS">#REF!</definedName>
    <definedName name="FILENAME">#REF!</definedName>
    <definedName name="FYEnd">#REF!</definedName>
    <definedName name="FYStart">#REF!</definedName>
    <definedName name="g">#REF!</definedName>
    <definedName name="HLACTIVITY">#REF!</definedName>
    <definedName name="HLVALUE">#REF!</definedName>
    <definedName name="MA" hidden="1">{#N/A,#N/A,TRUE,"BUDGET SYNTHESE";#N/A,#N/A,TRUE,"REVENUES";#N/A,#N/A,TRUE,"SALAIRES";#N/A,#N/A,TRUE,"REPARTITION DES CHARGES ";#N/A,#N/A,TRUE,"RESULTAT FINANCIER";#N/A,#N/A,TRUE,"TAXES FISCALES ET SOCIALES"}</definedName>
    <definedName name="Master">#REF!</definedName>
    <definedName name="NAL">#REF!</definedName>
    <definedName name="NRD_PlanType">"Non-Recoverable Draw"</definedName>
    <definedName name="PopCache_LOAD_PLAN_P_COUNTRY" hidden="1">#REF!</definedName>
    <definedName name="PopCache_LOAD_PLAN_P_ELEMENT_WEIGHTING" hidden="1">#REF!</definedName>
    <definedName name="PopCache_LOAD_PLAN_P_GEOGRAPHY" hidden="1">#REF!</definedName>
    <definedName name="PopCache_LOAD_PLAN_P_PLAN_CODE" hidden="1">#REF!</definedName>
    <definedName name="PopCache_LOAD_PLAN_P_PLAN_PERIOD" hidden="1">#REF!</definedName>
    <definedName name="PopCache_LOAD_PLAN_P_PLAN_TERM" hidden="1">#REF!</definedName>
    <definedName name="PopCache_LOAD_PLAN_P_STATUS" hidden="1">#REF!</definedName>
    <definedName name="PopCache_LOAD_PLAN_P_TERM_STATUS" hidden="1">#REF!</definedName>
    <definedName name="PRE_VAL_CLUST_LE">#REF!</definedName>
    <definedName name="PREF_VAL_CLUST">#REF!</definedName>
    <definedName name="PREF_VAL_CLUST_4">#REF!</definedName>
    <definedName name="PREF_VAL_REG">#REF!</definedName>
    <definedName name="PREF_VAL_REGLE">#REF!</definedName>
    <definedName name="PREF_VAL_TERR">#REF!</definedName>
    <definedName name="PREF_VAL_TERR_LE">#REF!</definedName>
    <definedName name="PREF_VOL_CLUS">#REF!</definedName>
    <definedName name="PREF_VOL_REG">#REF!</definedName>
    <definedName name="PREF_VOL_TERR">#REF!</definedName>
    <definedName name="PREF_VOL_TERR_UKI_4">#REF!</definedName>
    <definedName name="PREF_VOL_TERRR">#REF!</definedName>
    <definedName name="Query_NAL_Download_By_Cty">#REF!</definedName>
    <definedName name="RA" hidden="1">{#N/A,#N/A,TRUE,"BUDGET SYNTHESE";#N/A,#N/A,TRUE,"REVENUES";#N/A,#N/A,TRUE,"SALAIRES";#N/A,#N/A,TRUE,"REPARTITION DES CHARGES ";#N/A,#N/A,TRUE,"RESULTAT FINANCIER";#N/A,#N/A,TRUE,"TAXES FISCALES ET SOCIALES"}</definedName>
    <definedName name="rab" hidden="1">{#N/A,#N/A,TRUE,"BUDGET SYNTHESE";#N/A,#N/A,TRUE,"SALAIRES";#N/A,#N/A,TRUE,"REVENUES";#N/A,#N/A,TRUE,"PRODUITS ET CHARGES FINANCIERES"}</definedName>
    <definedName name="RB" hidden="1">{#N/A,#N/A,TRUE,"BUDGET SYNTHESE";#N/A,#N/A,TRUE,"REVENUES";#N/A,#N/A,TRUE,"SALAIRES";#N/A,#N/A,TRUE,"REPARTITION DES CHARGES ";#N/A,#N/A,TRUE,"RESULTAT FINANCIER";#N/A,#N/A,TRUE,"TAXES FISCALES ET SOCIALES"}</definedName>
    <definedName name="Request_Action">'[1]Drop Down'!$I$2:$I$5</definedName>
    <definedName name="Request_Category">'[2]DROP DOWN'!$E$2:$E$5</definedName>
    <definedName name="SGNAL">#REF!</definedName>
    <definedName name="Specializations">[3]Filters!$G$2:$G$14</definedName>
    <definedName name="ss" hidden="1">{#N/A,#N/A,TRUE,"BUDGET SYNTHESE";#N/A,#N/A,TRUE,"REVENUES";#N/A,#N/A,TRUE,"SALAIRES";#N/A,#N/A,TRUE,"REPARTITION DES CHARGES ";#N/A,#N/A,TRUE,"RESULTAT FINANCIER";#N/A,#N/A,TRUE,"TAXES FISCALES ET SOCIALES"}</definedName>
    <definedName name="SubTerritory">[4]Lookups!$M$2:$M$30</definedName>
    <definedName name="TTTTTTT">#REF!</definedName>
    <definedName name="VERSION">#REF!</definedName>
    <definedName name="wrn.BUDGET._.SOUTHCOMP._.97." hidden="1">{#N/A,#N/A,TRUE,"BUDGET SYNTHESE";#N/A,#N/A,TRUE,"SALAIRES";#N/A,#N/A,TRUE,"REVENUES";#N/A,#N/A,TRUE,"PRODUITS ET CHARGES FINANCIERES"}</definedName>
    <definedName name="wrn.MCI._.BUDGET._.97." hidden="1">{#N/A,#N/A,TRUE,"BUDGET SYNTHESE";#N/A,#N/A,TRUE,"REVENUES";#N/A,#N/A,TRUE,"SALAIRES";#N/A,#N/A,TRUE,"REPARTITION DES CHARGES ";#N/A,#N/A,TRUE,"RESULTAT FINANCIER";#N/A,#N/A,TRUE,"TAXES FISCALES ET SOCIALES"}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3" i="478" l="1"/>
  <c r="H12" i="478"/>
  <c r="H11" i="478" s="1"/>
  <c r="H13" i="125"/>
  <c r="H11" i="125" s="1"/>
  <c r="H12" i="125"/>
  <c r="L50" i="478" l="1"/>
  <c r="K50" i="478"/>
  <c r="J50" i="478"/>
  <c r="I50" i="478"/>
  <c r="I49" i="478" l="1"/>
  <c r="B3" i="34"/>
  <c r="B4" i="34"/>
  <c r="B5" i="34"/>
  <c r="B6" i="34"/>
  <c r="B7" i="34"/>
  <c r="B8" i="34"/>
  <c r="B9" i="34"/>
  <c r="B10" i="34"/>
  <c r="B11" i="34"/>
  <c r="B12" i="34"/>
  <c r="B13" i="34"/>
  <c r="B14" i="34"/>
  <c r="B15" i="34"/>
  <c r="B16" i="34"/>
  <c r="B17" i="34"/>
  <c r="B18" i="34"/>
  <c r="B19" i="34"/>
  <c r="B20" i="34"/>
  <c r="B21" i="34"/>
  <c r="B22" i="34"/>
  <c r="B23" i="34"/>
  <c r="B24" i="34"/>
  <c r="B25" i="34"/>
  <c r="B26" i="34"/>
  <c r="B27" i="34"/>
  <c r="B28" i="34"/>
  <c r="B29" i="34"/>
  <c r="B30" i="34"/>
  <c r="B31" i="34"/>
  <c r="B32" i="34"/>
  <c r="B33" i="34"/>
  <c r="B34" i="34"/>
  <c r="B35" i="34"/>
  <c r="B2" i="34"/>
  <c r="L50" i="125" l="1"/>
  <c r="K50" i="125"/>
  <c r="J50" i="125"/>
  <c r="I50" i="125"/>
  <c r="I49" i="125" s="1"/>
  <c r="F46" i="125" l="1"/>
  <c r="F45" i="125"/>
  <c r="F44" i="125"/>
  <c r="B1" i="34" l="1"/>
  <c r="C1" i="34"/>
</calcChain>
</file>

<file path=xl/sharedStrings.xml><?xml version="1.0" encoding="utf-8"?>
<sst xmlns="http://schemas.openxmlformats.org/spreadsheetml/2006/main" count="457" uniqueCount="177">
  <si>
    <t>Region</t>
  </si>
  <si>
    <t>EAST</t>
  </si>
  <si>
    <t>M1</t>
  </si>
  <si>
    <t>M2</t>
  </si>
  <si>
    <t>Total</t>
  </si>
  <si>
    <t>Deployed Quota</t>
  </si>
  <si>
    <t>Assessment</t>
  </si>
  <si>
    <t>Question</t>
  </si>
  <si>
    <t>Answer</t>
  </si>
  <si>
    <t xml:space="preserve">Is the coverage correct? </t>
  </si>
  <si>
    <t>Major deals</t>
  </si>
  <si>
    <t>Where these deal/deals part of their opening pipeline?</t>
  </si>
  <si>
    <t>Do you agree with the Projected Attainment ?</t>
  </si>
  <si>
    <t>Quota adjustment required ?</t>
  </si>
  <si>
    <t>Any other adjustments / updates required ?</t>
  </si>
  <si>
    <t>Recommendation (Pay in full / Pay draw)</t>
  </si>
  <si>
    <t>Justification on Recommendation</t>
  </si>
  <si>
    <t>Additional Comments (if any)</t>
  </si>
  <si>
    <t>Top deal booked:</t>
  </si>
  <si>
    <t>Assigned Territory</t>
  </si>
  <si>
    <t>Customer Name - Licensee</t>
  </si>
  <si>
    <t>GL Account</t>
  </si>
  <si>
    <t>Deal ID</t>
  </si>
  <si>
    <t>Comp Period</t>
  </si>
  <si>
    <t>SW + ARR</t>
  </si>
  <si>
    <t>Renewals</t>
  </si>
  <si>
    <t>HW + ARR + Srvcs</t>
  </si>
  <si>
    <t>Grand Total</t>
  </si>
  <si>
    <t>LAMC</t>
  </si>
  <si>
    <t>WEST</t>
  </si>
  <si>
    <t>NA</t>
  </si>
  <si>
    <t>M1 NB</t>
  </si>
  <si>
    <t>CASE</t>
  </si>
  <si>
    <t>COVERAGE</t>
  </si>
  <si>
    <t>Stack Rank Bookings</t>
  </si>
  <si>
    <t>AMS-PS-CIVIL-ENT-1-04</t>
  </si>
  <si>
    <t>Projected Achievement</t>
  </si>
  <si>
    <t>YTD Achievement</t>
  </si>
  <si>
    <t>New ARR Achievement</t>
  </si>
  <si>
    <t>New ARR Quota</t>
  </si>
  <si>
    <t>Renew ARR Achievement</t>
  </si>
  <si>
    <t>Renew ARR Quota</t>
  </si>
  <si>
    <t>M1 RW</t>
  </si>
  <si>
    <t>OCR Bookings:</t>
  </si>
  <si>
    <t>emp id</t>
  </si>
  <si>
    <t>AMS-WEST-CAL-SA-GEN ATOMICS,AMS-WEST-CAL-ENT-1-06</t>
  </si>
  <si>
    <t>PS</t>
  </si>
  <si>
    <t>AMS_WEST_INTERMTN_AREA</t>
  </si>
  <si>
    <t>AMS-WEST-INTERMTN-SA-LUMEN,AMS-WEST-INTERMTN-ENT-1-01</t>
  </si>
  <si>
    <t>V_Scarr, John_GLOBAL,AMS-GLOBAL-NY-LIFE,AMS-GLOBAL-MORGAN-STAN,AMS-GLOBAL-CREDIT-SUISSE,AMS-GLOBAL-BLOOMBERG</t>
  </si>
  <si>
    <t>Review Last Month</t>
  </si>
  <si>
    <t>Action taken Last Month</t>
  </si>
  <si>
    <t>NO</t>
  </si>
  <si>
    <t>REGION</t>
  </si>
  <si>
    <t>SALES ORG</t>
  </si>
  <si>
    <t>SALES ROLE</t>
  </si>
  <si>
    <t>SUPERVISOR</t>
  </si>
  <si>
    <t>EMP. ID</t>
  </si>
  <si>
    <t>TEAM NAME</t>
  </si>
  <si>
    <t>USER PERSON TYPE</t>
  </si>
  <si>
    <t>SEGMENT</t>
  </si>
  <si>
    <t>COMMISSION DUE (USD)</t>
  </si>
  <si>
    <t>ANNUAL OTC ATTAINMENT % (EXCL. BONUSES)</t>
  </si>
  <si>
    <t>M1 NEW ARR QUOTA - ANNUAL</t>
  </si>
  <si>
    <t>068_[M1: NEW Comp Booking] (Incl. Uplift)</t>
  </si>
  <si>
    <t>NEW ATTAINMENT %</t>
  </si>
  <si>
    <t>M1 RENEW ARR QUOTA - ANNUAL</t>
  </si>
  <si>
    <t>069_[M1: RENEW Comp Booking] (Incl. Uplift)</t>
  </si>
  <si>
    <t>RENEW ATTAINMENT %</t>
  </si>
  <si>
    <t>M1 FIELD ARR PRIOR MONTHS BOOKINGS</t>
  </si>
  <si>
    <t>M1 FIELD ARR INCREMENTAL BOOKINGS</t>
  </si>
  <si>
    <t>M1 FIELD ARR INCREMENTAL ATTAIN %</t>
  </si>
  <si>
    <t>M1 FIELD ARR QUOTA - ANNUAL</t>
  </si>
  <si>
    <t>M1 FIELD ARR BOOKING - ANNUAL</t>
  </si>
  <si>
    <t>M1 FIELD ARR ACHVMT - ANNUAL</t>
  </si>
  <si>
    <t>M2 PRIOR MONTHS BOOKINGS</t>
  </si>
  <si>
    <t>M2 INCREMENTAL BOOKINGS</t>
  </si>
  <si>
    <t>M2 INCREMENTAL ATTAIN %</t>
  </si>
  <si>
    <t>MEASURE2 QUOTA ANNUAL</t>
  </si>
  <si>
    <t>MEASURE2 BOOKING - ANNUAL</t>
  </si>
  <si>
    <t>MEASURE2 ACHVMT - ANNUAL</t>
  </si>
  <si>
    <t>COMMENTS</t>
  </si>
  <si>
    <t>150% ATTAINMENT</t>
  </si>
  <si>
    <t>250% OTC REVIEW</t>
  </si>
  <si>
    <t>COMMISSION EARNINGS REVIEW</t>
  </si>
  <si>
    <t>PREVIOUSLY REVIEWED</t>
  </si>
  <si>
    <t>ADDICIONAL IDENTIFIED BY COMP</t>
  </si>
  <si>
    <t>TOTAL</t>
  </si>
  <si>
    <t>Field Sales</t>
  </si>
  <si>
    <t>AE/AEH/TSM Plan 1</t>
  </si>
  <si>
    <t>Employee</t>
  </si>
  <si>
    <t>SALES ACCOUNT MANAGER</t>
  </si>
  <si>
    <t>AE/AEH/TSM Plan 3</t>
  </si>
  <si>
    <t>STRATEGIC ACCOUNT MANAGER</t>
  </si>
  <si>
    <t>DM Plan 1</t>
  </si>
  <si>
    <t>REGION SALES LEADER</t>
  </si>
  <si>
    <t>AE/AEH/TSM Plan 2</t>
  </si>
  <si>
    <t>Greater than 50K</t>
  </si>
  <si>
    <t>Comp Date</t>
  </si>
  <si>
    <t>JUN-24</t>
  </si>
  <si>
    <t>SUBSCRIPTION SOFTWARE MAINTENANCE_L4</t>
  </si>
  <si>
    <t>SAAS_L4</t>
  </si>
  <si>
    <t>(blank)</t>
  </si>
  <si>
    <t>PERPETUAL SOFTWARE MAINTENANCE_L4</t>
  </si>
  <si>
    <t>MAY-24</t>
  </si>
  <si>
    <t>JUL-24</t>
  </si>
  <si>
    <t>APR-24</t>
  </si>
  <si>
    <t>AUG-24</t>
  </si>
  <si>
    <t>INCREMENTAL FROM LAST MONTH</t>
  </si>
  <si>
    <t>M1 &amp; M2</t>
  </si>
  <si>
    <t>SEP-24</t>
  </si>
  <si>
    <t>Please review and share your recommendation in the given file</t>
  </si>
  <si>
    <t>New ARR Bookings (w Uplift)</t>
  </si>
  <si>
    <t>New ARR Bookings (w/o Uplift)</t>
  </si>
  <si>
    <t>Renew ARR Bookings (w Uplift)</t>
  </si>
  <si>
    <t>Renew ARR Bookings (w/o Uplift)</t>
  </si>
  <si>
    <t>Commission</t>
  </si>
  <si>
    <t>316333</t>
  </si>
  <si>
    <t>AMS-WEST-HRTLND-MM-1-02-06,AMS-WEST-HRTLND-MM-1-02-05,AMS-WEST-HRTLND-MM-1-02-04,AMS-WEST-HRTLND-MM-1-02-03,AMS-WEST-HRTLND-MM-1-02-02,AMS-WEST-HRTLND-MM-1-02-01</t>
  </si>
  <si>
    <t>AMS-WEST-HRTLND-MM-1-02-01</t>
  </si>
  <si>
    <t>OSC4001060</t>
  </si>
  <si>
    <t>OSC2192087</t>
  </si>
  <si>
    <t>OSC3952671</t>
  </si>
  <si>
    <t>OSC4055670</t>
  </si>
  <si>
    <t>OSC3981452</t>
  </si>
  <si>
    <t>OSC3465217</t>
  </si>
  <si>
    <t>OSC3985693</t>
  </si>
  <si>
    <t>OSC3983458</t>
  </si>
  <si>
    <t>OSC4012251</t>
  </si>
  <si>
    <t>OSC3989818</t>
  </si>
  <si>
    <t>GARMIN INTERNATIONAL</t>
  </si>
  <si>
    <t>AMERICAN MEDICAL ASSOCIATION</t>
  </si>
  <si>
    <t>Top Incremental deals</t>
  </si>
  <si>
    <t>NSK</t>
  </si>
  <si>
    <t>Aaron Spencer</t>
  </si>
  <si>
    <t>Bethany Morgan</t>
  </si>
  <si>
    <t>Calvin Fisher</t>
  </si>
  <si>
    <t>Diane Clark</t>
  </si>
  <si>
    <t>Ethan Warner</t>
  </si>
  <si>
    <t>Fiona Cooper</t>
  </si>
  <si>
    <t>Gavin Lawrence</t>
  </si>
  <si>
    <t>Hannah Edwards</t>
  </si>
  <si>
    <t>Isaac Scott</t>
  </si>
  <si>
    <t>Jenna Bailey</t>
  </si>
  <si>
    <t>Kyle Simmons</t>
  </si>
  <si>
    <t>Lauren Hayes</t>
  </si>
  <si>
    <t>Marcus Blake</t>
  </si>
  <si>
    <t>Natalie Perez</t>
  </si>
  <si>
    <t>Oliver Dawson</t>
  </si>
  <si>
    <t>Paige Young</t>
  </si>
  <si>
    <t>Quentin Murphy</t>
  </si>
  <si>
    <t>Rachel Hart</t>
  </si>
  <si>
    <t>Samuel Nelson</t>
  </si>
  <si>
    <t>Tessa Foster</t>
  </si>
  <si>
    <t>Ulysses Miller</t>
  </si>
  <si>
    <t>Vanessa Reid</t>
  </si>
  <si>
    <t>Wesley Price</t>
  </si>
  <si>
    <t>Xavier Coleman</t>
  </si>
  <si>
    <t>Yvonne Barrett</t>
  </si>
  <si>
    <t>Zachary Bennett</t>
  </si>
  <si>
    <t>Amelia Patterson</t>
  </si>
  <si>
    <t>Brandon Stone</t>
  </si>
  <si>
    <t>Chloe Simmons</t>
  </si>
  <si>
    <t>Dominic Roberts</t>
  </si>
  <si>
    <t>Elise Butler</t>
  </si>
  <si>
    <t>Frank Mitchell</t>
  </si>
  <si>
    <t>Grace Torres</t>
  </si>
  <si>
    <t>Henry Collins</t>
  </si>
  <si>
    <t>Aaron_Spencer</t>
  </si>
  <si>
    <t>Customer1</t>
  </si>
  <si>
    <t>Customer2</t>
  </si>
  <si>
    <t>Customer3</t>
  </si>
  <si>
    <t>Customer4</t>
  </si>
  <si>
    <t>Customer5</t>
  </si>
  <si>
    <t>Customer6</t>
  </si>
  <si>
    <t>Customer7</t>
  </si>
  <si>
    <t>EMPLOYEE NAME (Dummy)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</si>
</sst>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409]mmm\-yy;@"/>
    <numFmt numFmtId="165" formatCode="_(* #,##0_);_(* \(#,##0\);_(* &quot;-&quot;??_);_(@_)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6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4"/>
      <color theme="1"/>
      <name val="Tahoma"/>
      <family val="2"/>
    </font>
    <font>
      <sz val="11"/>
      <color indexed="8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theme="4" tint="0.3999755851924192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/>
    <xf numFmtId="0" fontId="11" fillId="0" borderId="0"/>
    <xf numFmtId="0" fontId="1" fillId="0" borderId="0"/>
    <xf numFmtId="0" fontId="12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87">
    <xf numFmtId="0" fontId="0" fillId="0" borderId="0" xfId="0"/>
    <xf numFmtId="0" fontId="4" fillId="0" borderId="0" xfId="3" applyFont="1" applyAlignment="1">
      <alignment horizontal="left" vertical="center" indent="2"/>
    </xf>
    <xf numFmtId="0" fontId="6" fillId="3" borderId="1" xfId="3" applyFont="1" applyFill="1" applyBorder="1" applyAlignment="1">
      <alignment horizontal="center" vertical="center"/>
    </xf>
    <xf numFmtId="0" fontId="0" fillId="5" borderId="0" xfId="0" applyFill="1"/>
    <xf numFmtId="0" fontId="0" fillId="0" borderId="7" xfId="0" applyBorder="1"/>
    <xf numFmtId="3" fontId="1" fillId="0" borderId="0" xfId="5" applyNumberFormat="1"/>
    <xf numFmtId="0" fontId="1" fillId="0" borderId="0" xfId="5"/>
    <xf numFmtId="0" fontId="1" fillId="0" borderId="0" xfId="5" applyAlignment="1">
      <alignment wrapText="1"/>
    </xf>
    <xf numFmtId="0" fontId="5" fillId="2" borderId="1" xfId="5" applyFont="1" applyFill="1" applyBorder="1" applyAlignment="1">
      <alignment horizontal="center" vertical="center" wrapText="1"/>
    </xf>
    <xf numFmtId="0" fontId="5" fillId="2" borderId="3" xfId="5" applyFont="1" applyFill="1" applyBorder="1" applyAlignment="1">
      <alignment horizontal="center" vertical="center" wrapText="1"/>
    </xf>
    <xf numFmtId="0" fontId="5" fillId="2" borderId="4" xfId="5" applyFont="1" applyFill="1" applyBorder="1" applyAlignment="1">
      <alignment horizontal="center" vertical="center" wrapText="1"/>
    </xf>
    <xf numFmtId="0" fontId="6" fillId="3" borderId="1" xfId="3" applyFont="1" applyFill="1" applyBorder="1" applyAlignment="1">
      <alignment horizontal="left" vertical="center"/>
    </xf>
    <xf numFmtId="9" fontId="1" fillId="0" borderId="0" xfId="5" applyNumberFormat="1"/>
    <xf numFmtId="0" fontId="2" fillId="0" borderId="8" xfId="5" applyFont="1" applyBorder="1"/>
    <xf numFmtId="0" fontId="5" fillId="2" borderId="8" xfId="5" applyFont="1" applyFill="1" applyBorder="1" applyAlignment="1">
      <alignment horizontal="center" vertical="center" wrapText="1"/>
    </xf>
    <xf numFmtId="0" fontId="1" fillId="0" borderId="9" xfId="5" applyBorder="1" applyAlignment="1">
      <alignment horizontal="left"/>
    </xf>
    <xf numFmtId="9" fontId="0" fillId="0" borderId="9" xfId="7" applyFont="1" applyBorder="1" applyAlignment="1">
      <alignment horizontal="center"/>
    </xf>
    <xf numFmtId="0" fontId="6" fillId="0" borderId="0" xfId="6" applyFont="1"/>
    <xf numFmtId="0" fontId="1" fillId="0" borderId="1" xfId="5" applyBorder="1" applyAlignment="1">
      <alignment horizontal="left"/>
    </xf>
    <xf numFmtId="9" fontId="0" fillId="0" borderId="1" xfId="7" applyFont="1" applyBorder="1" applyAlignment="1">
      <alignment horizontal="center"/>
    </xf>
    <xf numFmtId="0" fontId="1" fillId="0" borderId="1" xfId="5" applyBorder="1"/>
    <xf numFmtId="3" fontId="7" fillId="0" borderId="1" xfId="5" applyNumberFormat="1" applyFont="1" applyBorder="1" applyAlignment="1">
      <alignment horizontal="center" vertical="center"/>
    </xf>
    <xf numFmtId="0" fontId="1" fillId="0" borderId="10" xfId="5" applyBorder="1"/>
    <xf numFmtId="3" fontId="7" fillId="0" borderId="10" xfId="5" applyNumberFormat="1" applyFont="1" applyBorder="1" applyAlignment="1">
      <alignment horizontal="center" vertical="center"/>
    </xf>
    <xf numFmtId="0" fontId="1" fillId="0" borderId="9" xfId="5" applyBorder="1"/>
    <xf numFmtId="9" fontId="7" fillId="0" borderId="9" xfId="5" applyNumberFormat="1" applyFont="1" applyBorder="1" applyAlignment="1">
      <alignment horizontal="center" vertical="center"/>
    </xf>
    <xf numFmtId="3" fontId="7" fillId="6" borderId="9" xfId="5" applyNumberFormat="1" applyFont="1" applyFill="1" applyBorder="1" applyAlignment="1">
      <alignment horizontal="center" vertical="center"/>
    </xf>
    <xf numFmtId="3" fontId="7" fillId="6" borderId="1" xfId="5" applyNumberFormat="1" applyFont="1" applyFill="1" applyBorder="1" applyAlignment="1">
      <alignment horizontal="center" vertical="center"/>
    </xf>
    <xf numFmtId="9" fontId="7" fillId="0" borderId="1" xfId="5" applyNumberFormat="1" applyFont="1" applyBorder="1" applyAlignment="1">
      <alignment horizontal="center" vertical="center"/>
    </xf>
    <xf numFmtId="3" fontId="7" fillId="6" borderId="10" xfId="5" applyNumberFormat="1" applyFont="1" applyFill="1" applyBorder="1" applyAlignment="1">
      <alignment horizontal="center" vertical="center"/>
    </xf>
    <xf numFmtId="0" fontId="12" fillId="0" borderId="0" xfId="6"/>
    <xf numFmtId="0" fontId="8" fillId="0" borderId="0" xfId="5" applyFont="1"/>
    <xf numFmtId="0" fontId="9" fillId="3" borderId="3" xfId="5" applyFont="1" applyFill="1" applyBorder="1" applyAlignment="1">
      <alignment vertical="center"/>
    </xf>
    <xf numFmtId="0" fontId="2" fillId="3" borderId="4" xfId="5" applyFont="1" applyFill="1" applyBorder="1"/>
    <xf numFmtId="0" fontId="2" fillId="3" borderId="3" xfId="5" applyFont="1" applyFill="1" applyBorder="1"/>
    <xf numFmtId="0" fontId="2" fillId="3" borderId="5" xfId="5" applyFont="1" applyFill="1" applyBorder="1"/>
    <xf numFmtId="0" fontId="10" fillId="0" borderId="3" xfId="5" applyFont="1" applyBorder="1" applyAlignment="1">
      <alignment vertical="center"/>
    </xf>
    <xf numFmtId="0" fontId="1" fillId="0" borderId="4" xfId="5" applyBorder="1"/>
    <xf numFmtId="0" fontId="1" fillId="0" borderId="3" xfId="5" applyBorder="1"/>
    <xf numFmtId="0" fontId="1" fillId="0" borderId="5" xfId="5" applyBorder="1"/>
    <xf numFmtId="0" fontId="2" fillId="4" borderId="1" xfId="5" applyFont="1" applyFill="1" applyBorder="1"/>
    <xf numFmtId="0" fontId="2" fillId="4" borderId="1" xfId="5" applyFont="1" applyFill="1" applyBorder="1" applyAlignment="1">
      <alignment horizontal="center"/>
    </xf>
    <xf numFmtId="3" fontId="1" fillId="0" borderId="1" xfId="5" applyNumberFormat="1" applyBorder="1" applyAlignment="1">
      <alignment horizontal="center" vertical="center"/>
    </xf>
    <xf numFmtId="0" fontId="2" fillId="0" borderId="0" xfId="5" applyFont="1"/>
    <xf numFmtId="0" fontId="2" fillId="4" borderId="6" xfId="5" applyFont="1" applyFill="1" applyBorder="1" applyAlignment="1">
      <alignment horizontal="center" vertical="center" wrapText="1"/>
    </xf>
    <xf numFmtId="14" fontId="2" fillId="4" borderId="6" xfId="5" applyNumberFormat="1" applyFont="1" applyFill="1" applyBorder="1" applyAlignment="1">
      <alignment horizontal="center" vertical="center" wrapText="1"/>
    </xf>
    <xf numFmtId="3" fontId="2" fillId="4" borderId="6" xfId="5" applyNumberFormat="1" applyFont="1" applyFill="1" applyBorder="1" applyAlignment="1">
      <alignment horizontal="center" vertical="center" wrapText="1"/>
    </xf>
    <xf numFmtId="0" fontId="1" fillId="0" borderId="0" xfId="5" quotePrefix="1"/>
    <xf numFmtId="14" fontId="1" fillId="0" borderId="0" xfId="5" applyNumberFormat="1"/>
    <xf numFmtId="0" fontId="0" fillId="0" borderId="0" xfId="8" applyNumberFormat="1" applyFont="1"/>
    <xf numFmtId="164" fontId="1" fillId="0" borderId="0" xfId="5" applyNumberFormat="1"/>
    <xf numFmtId="3" fontId="0" fillId="0" borderId="0" xfId="8" applyNumberFormat="1" applyFont="1"/>
    <xf numFmtId="164" fontId="1" fillId="0" borderId="0" xfId="5" applyNumberFormat="1" applyAlignment="1">
      <alignment horizontal="center"/>
    </xf>
    <xf numFmtId="0" fontId="2" fillId="0" borderId="1" xfId="5" applyFont="1" applyBorder="1"/>
    <xf numFmtId="0" fontId="2" fillId="0" borderId="3" xfId="5" applyFont="1" applyBorder="1"/>
    <xf numFmtId="0" fontId="4" fillId="0" borderId="0" xfId="3" applyFont="1" applyAlignment="1">
      <alignment horizontal="left" vertical="center"/>
    </xf>
    <xf numFmtId="0" fontId="13" fillId="2" borderId="2" xfId="0" applyFont="1" applyFill="1" applyBorder="1" applyAlignment="1">
      <alignment horizontal="center" vertical="center" wrapText="1"/>
    </xf>
    <xf numFmtId="0" fontId="13" fillId="8" borderId="2" xfId="0" applyFont="1" applyFill="1" applyBorder="1" applyAlignment="1">
      <alignment horizontal="center" vertical="center" wrapText="1"/>
    </xf>
    <xf numFmtId="0" fontId="0" fillId="9" borderId="0" xfId="0" applyFill="1" applyAlignment="1">
      <alignment horizontal="center" vertical="center" wrapText="1"/>
    </xf>
    <xf numFmtId="165" fontId="0" fillId="7" borderId="7" xfId="1" applyNumberFormat="1" applyFont="1" applyFill="1" applyBorder="1"/>
    <xf numFmtId="165" fontId="0" fillId="0" borderId="7" xfId="1" applyNumberFormat="1" applyFont="1" applyBorder="1"/>
    <xf numFmtId="9" fontId="0" fillId="0" borderId="7" xfId="1" applyNumberFormat="1" applyFont="1" applyBorder="1"/>
    <xf numFmtId="4" fontId="0" fillId="0" borderId="7" xfId="0" applyNumberFormat="1" applyBorder="1"/>
    <xf numFmtId="43" fontId="0" fillId="0" borderId="7" xfId="0" applyNumberFormat="1" applyBorder="1"/>
    <xf numFmtId="9" fontId="0" fillId="0" borderId="7" xfId="0" applyNumberFormat="1" applyBorder="1"/>
    <xf numFmtId="9" fontId="0" fillId="7" borderId="7" xfId="1" applyNumberFormat="1" applyFont="1" applyFill="1" applyBorder="1"/>
    <xf numFmtId="14" fontId="0" fillId="0" borderId="0" xfId="8" applyNumberFormat="1" applyFont="1"/>
    <xf numFmtId="165" fontId="2" fillId="4" borderId="6" xfId="1" applyNumberFormat="1" applyFont="1" applyFill="1" applyBorder="1" applyAlignment="1">
      <alignment horizontal="center" vertical="center" wrapText="1"/>
    </xf>
    <xf numFmtId="165" fontId="2" fillId="0" borderId="0" xfId="1" applyNumberFormat="1" applyFont="1"/>
    <xf numFmtId="0" fontId="5" fillId="8" borderId="8" xfId="5" applyFont="1" applyFill="1" applyBorder="1" applyAlignment="1">
      <alignment horizontal="center" vertical="center" wrapText="1"/>
    </xf>
    <xf numFmtId="3" fontId="0" fillId="0" borderId="0" xfId="8" applyNumberFormat="1" applyFont="1" applyAlignment="1">
      <alignment horizontal="right"/>
    </xf>
    <xf numFmtId="3" fontId="1" fillId="0" borderId="0" xfId="5" applyNumberFormat="1" applyAlignment="1">
      <alignment horizontal="right"/>
    </xf>
    <xf numFmtId="9" fontId="0" fillId="0" borderId="7" xfId="1" applyNumberFormat="1" applyFont="1" applyFill="1" applyBorder="1"/>
    <xf numFmtId="9" fontId="0" fillId="0" borderId="7" xfId="2" applyNumberFormat="1" applyFont="1" applyBorder="1"/>
    <xf numFmtId="0" fontId="0" fillId="3" borderId="7" xfId="0" applyFill="1" applyBorder="1"/>
    <xf numFmtId="165" fontId="0" fillId="3" borderId="7" xfId="1" applyNumberFormat="1" applyFont="1" applyFill="1" applyBorder="1"/>
    <xf numFmtId="9" fontId="0" fillId="3" borderId="7" xfId="2" applyNumberFormat="1" applyFont="1" applyFill="1" applyBorder="1"/>
    <xf numFmtId="9" fontId="0" fillId="3" borderId="7" xfId="1" applyNumberFormat="1" applyFont="1" applyFill="1" applyBorder="1"/>
    <xf numFmtId="4" fontId="0" fillId="3" borderId="7" xfId="0" applyNumberFormat="1" applyFill="1" applyBorder="1"/>
    <xf numFmtId="43" fontId="0" fillId="3" borderId="7" xfId="0" applyNumberFormat="1" applyFill="1" applyBorder="1"/>
    <xf numFmtId="9" fontId="0" fillId="3" borderId="7" xfId="0" applyNumberFormat="1" applyFill="1" applyBorder="1"/>
    <xf numFmtId="3" fontId="14" fillId="6" borderId="1" xfId="5" applyNumberFormat="1" applyFont="1" applyFill="1" applyBorder="1" applyAlignment="1">
      <alignment horizontal="center" vertical="center"/>
    </xf>
    <xf numFmtId="3" fontId="14" fillId="6" borderId="2" xfId="5" applyNumberFormat="1" applyFont="1" applyFill="1" applyBorder="1" applyAlignment="1">
      <alignment horizontal="center" vertical="center"/>
    </xf>
    <xf numFmtId="3" fontId="7" fillId="6" borderId="2" xfId="5" applyNumberFormat="1" applyFont="1" applyFill="1" applyBorder="1" applyAlignment="1">
      <alignment horizontal="center" vertical="center"/>
    </xf>
    <xf numFmtId="0" fontId="1" fillId="0" borderId="3" xfId="5" applyBorder="1" applyAlignment="1">
      <alignment horizontal="left" vertical="center" wrapText="1"/>
    </xf>
    <xf numFmtId="0" fontId="1" fillId="0" borderId="5" xfId="5" applyBorder="1" applyAlignment="1">
      <alignment horizontal="left" vertical="center" wrapText="1"/>
    </xf>
    <xf numFmtId="0" fontId="1" fillId="0" borderId="4" xfId="5" applyBorder="1" applyAlignment="1">
      <alignment horizontal="left" vertical="center" wrapText="1"/>
    </xf>
  </cellXfs>
  <cellStyles count="9">
    <cellStyle name="Comma" xfId="1" builtinId="3"/>
    <cellStyle name="Comma 2" xfId="8" xr:uid="{3CB2F104-3D55-4B2F-93F2-22663AA8D7CF}"/>
    <cellStyle name="Normal" xfId="0" builtinId="0"/>
    <cellStyle name="Normal 2" xfId="5" xr:uid="{7660B103-D6F2-4828-AD06-039BB7534F20}"/>
    <cellStyle name="Normal 20" xfId="3" xr:uid="{B4BA51AD-EC3E-4D46-99B6-FA506BE0F349}"/>
    <cellStyle name="Normal 23" xfId="4" xr:uid="{D273DA5A-DA86-46B2-9775-3AFFF49233A9}"/>
    <cellStyle name="Normal 3" xfId="6" xr:uid="{C739F2A2-6231-48FC-A55B-8921F5C41A1B}"/>
    <cellStyle name="Percent" xfId="2" builtinId="5"/>
    <cellStyle name="Percent 2" xfId="7" xr:uid="{869E3418-21BC-4A6B-9B12-A52093D50E7D}"/>
  </cellStyles>
  <dxfs count="4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my-Veritas/FY19%20planning/APJ%20FY18-NAL-Master%20File%20v4_22022018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achin.ghule/Desktop/Automation/APJ%20TM%20Templete%20+%20Quata%20workbook/New%20folder%20(2)/FY20%20APJ%20ASR%20ID%20Territory%20Coverage%20&amp;%20Definition.xlsb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vdocs.community.veritas.com/Users/dina.hill/AppData/Local/Microsoft/Windows/Temporary%20Internet%20Files/Content.Outlook/64O29861/FY17_Quota_NORTH_ENT_NK%2024_06_16%20-%20TSS%20Reps%20(003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vdocs.community.veritas.com/Users/shaun.hawkins/Desktop/Nick%20Files/FY18/Planning%20Quota%20Teams/Latest%20File/FY18%20EMEA%20Planning%20Coverage%20Template%20UK%20Cons%2020th%20Feb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sion Control"/>
      <sheetName val="Overview WIP"/>
      <sheetName val="Overview"/>
      <sheetName val="Pivots"/>
      <sheetName val="Sheet1"/>
      <sheetName val="APJ Named Account List "/>
      <sheetName val="SA Map"/>
      <sheetName val="Commerical SIC mapping list"/>
      <sheetName val="Drop Dow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">
          <cell r="I2" t="str">
            <v>Add</v>
          </cell>
        </row>
        <row r="3">
          <cell r="I3" t="str">
            <v xml:space="preserve">Edit </v>
          </cell>
        </row>
        <row r="4">
          <cell r="I4" t="str">
            <v xml:space="preserve">Delete </v>
          </cell>
        </row>
        <row r="5">
          <cell r="I5" t="str">
            <v xml:space="preserve">None 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 ME"/>
      <sheetName val="ASR_ID - DIRECT"/>
      <sheetName val="ASR_ID - RENEWAL"/>
      <sheetName val="C_ASR_ID - RESELLER"/>
      <sheetName val="C_ASR_ID - DISTI"/>
      <sheetName val="MPL"/>
      <sheetName val="DROP DOW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2">
          <cell r="E2" t="str">
            <v>ADD</v>
          </cell>
        </row>
        <row r="3">
          <cell r="E3" t="str">
            <v>DEACTIVATE</v>
          </cell>
        </row>
        <row r="4">
          <cell r="E4" t="str">
            <v>CHANGE</v>
          </cell>
        </row>
        <row r="5">
          <cell r="E5" t="str">
            <v>NONE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d User"/>
      <sheetName val="Territory Quotas"/>
      <sheetName val="Plan List"/>
      <sheetName val="Ramping &amp; Phasing"/>
      <sheetName val="Quota Bands"/>
      <sheetName val="Roster"/>
      <sheetName val="Filters"/>
      <sheetName val="Change Log"/>
      <sheetName val="Scenarios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G2" t="str">
            <v>All (excludes BE)</v>
          </cell>
        </row>
        <row r="3">
          <cell r="G3" t="str">
            <v>All (includes BE)</v>
          </cell>
        </row>
        <row r="4">
          <cell r="G4" t="str">
            <v>All Services (EDU and Consulting)</v>
          </cell>
        </row>
        <row r="5">
          <cell r="G5" t="str">
            <v>Backup Exec  + NBU_BE (DLO)</v>
          </cell>
        </row>
        <row r="6">
          <cell r="G6" t="str">
            <v>Consulting</v>
          </cell>
        </row>
        <row r="7">
          <cell r="G7" t="str">
            <v>eDiscovery</v>
          </cell>
        </row>
        <row r="8">
          <cell r="G8" t="str">
            <v>Education</v>
          </cell>
        </row>
        <row r="9">
          <cell r="G9" t="str">
            <v>Enterprise Vault/EV.Cloud</v>
          </cell>
        </row>
        <row r="10">
          <cell r="G10" t="str">
            <v xml:space="preserve">Information Availability </v>
          </cell>
        </row>
        <row r="11">
          <cell r="G11" t="str">
            <v>Information Intelligence (Enterprise Vault + Information Intelligence + eDiscovery)</v>
          </cell>
        </row>
        <row r="12">
          <cell r="G12" t="str">
            <v>KSO</v>
          </cell>
        </row>
        <row r="13">
          <cell r="G13" t="str">
            <v>NetbackUp + NBU Appliances + NBU_BE (DLO) + Velocity + Velocity Appliances</v>
          </cell>
        </row>
        <row r="14">
          <cell r="G14" t="str">
            <v>NBU Appliances</v>
          </cell>
        </row>
      </sheetData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age Summary"/>
      <sheetName val="Lookups"/>
      <sheetName val="Headcount &amp; Quota Output"/>
      <sheetName val="Sheet2"/>
      <sheetName val="Subsids"/>
      <sheetName val="Check"/>
      <sheetName val="Account List"/>
      <sheetName val="---&gt; ENT High Level ---&gt;"/>
      <sheetName val="UK &amp; Nordics Summary"/>
      <sheetName val="Large Ent"/>
      <sheetName val="ENT 1&amp;2 &amp; 4"/>
      <sheetName val="Scotland"/>
      <sheetName val="Public Sector."/>
      <sheetName val="Nordics"/>
      <sheetName val="PS Drop Out"/>
      <sheetName val="Non PS Drop Out"/>
      <sheetName val="---&gt; ENT Detail ---&gt;"/>
      <sheetName val="Darren"/>
      <sheetName val="Patrick"/>
      <sheetName val="ENT 4"/>
      <sheetName val="Teams"/>
      <sheetName val="ISO (Summary)"/>
      <sheetName val="ISO (Detail)"/>
      <sheetName val="BE (Summary)"/>
      <sheetName val="BE (Detail)"/>
      <sheetName val="Reseller"/>
      <sheetName val="Distributor"/>
      <sheetName val="Specialist"/>
      <sheetName val="Technical"/>
      <sheetName val="vericals"/>
      <sheetName val="UK Summary"/>
    </sheetNames>
    <sheetDataSet>
      <sheetData sheetId="0"/>
      <sheetData sheetId="1">
        <row r="2">
          <cell r="M2">
            <v>0</v>
          </cell>
        </row>
        <row r="3">
          <cell r="M3" t="str">
            <v>GULF</v>
          </cell>
        </row>
        <row r="4">
          <cell r="M4" t="str">
            <v>SAUDI_ARABIA</v>
          </cell>
        </row>
        <row r="5">
          <cell r="M5" t="str">
            <v>SOUTH_AFRICA</v>
          </cell>
        </row>
        <row r="6">
          <cell r="M6" t="str">
            <v>ISRAEL</v>
          </cell>
        </row>
        <row r="7">
          <cell r="M7" t="str">
            <v>POLAND</v>
          </cell>
        </row>
        <row r="8">
          <cell r="M8" t="str">
            <v>RUSSIA</v>
          </cell>
        </row>
        <row r="9">
          <cell r="M9" t="str">
            <v>TURKEY</v>
          </cell>
        </row>
        <row r="10">
          <cell r="M10" t="str">
            <v>DENMARK</v>
          </cell>
        </row>
        <row r="11">
          <cell r="M11" t="str">
            <v>FINLAND</v>
          </cell>
        </row>
        <row r="12">
          <cell r="M12" t="str">
            <v>NORWAY</v>
          </cell>
        </row>
        <row r="13">
          <cell r="M13" t="str">
            <v>SWEDEN</v>
          </cell>
        </row>
        <row r="14">
          <cell r="M14" t="str">
            <v>UNITED_KINGDOM_IRELAND</v>
          </cell>
        </row>
        <row r="15">
          <cell r="M15" t="str">
            <v>BENELUX</v>
          </cell>
        </row>
        <row r="16">
          <cell r="M16" t="str">
            <v>AUSTRIA</v>
          </cell>
        </row>
        <row r="17">
          <cell r="M17" t="str">
            <v>GERMANY</v>
          </cell>
        </row>
        <row r="18">
          <cell r="M18" t="str">
            <v>SWITZERLAND</v>
          </cell>
        </row>
        <row r="19">
          <cell r="M19" t="str">
            <v>FRANCE</v>
          </cell>
        </row>
        <row r="20">
          <cell r="M20" t="str">
            <v>IBERIA</v>
          </cell>
        </row>
        <row r="21">
          <cell r="M21" t="str">
            <v>ITALY</v>
          </cell>
        </row>
        <row r="22">
          <cell r="M22" t="str">
            <v>MIDIS</v>
          </cell>
        </row>
        <row r="23">
          <cell r="M23" t="str">
            <v>PAN_EMEA</v>
          </cell>
        </row>
        <row r="24">
          <cell r="M24" t="str">
            <v>PAN_DACH</v>
          </cell>
        </row>
        <row r="25">
          <cell r="M25" t="str">
            <v>PAN_EMERGING</v>
          </cell>
        </row>
        <row r="26">
          <cell r="M26" t="str">
            <v>PAN_MIDDLE_EAST</v>
          </cell>
        </row>
        <row r="27">
          <cell r="M27" t="str">
            <v>PAN_NORDICS</v>
          </cell>
        </row>
        <row r="28">
          <cell r="M28" t="str">
            <v>PAN_NORTH</v>
          </cell>
        </row>
        <row r="29">
          <cell r="M29" t="str">
            <v>PAN_TRIP</v>
          </cell>
        </row>
        <row r="30">
          <cell r="M30" t="str">
            <v>PAN_WEST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>
        <row r="5">
          <cell r="O5" t="str">
            <v>Charlie Haynes</v>
          </cell>
        </row>
      </sheetData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E22F0-DB17-4E71-9104-1BD3CAEFCFB8}">
  <sheetPr codeName="Sheet3"/>
  <dimension ref="B3:AK23"/>
  <sheetViews>
    <sheetView showGridLines="0" workbookViewId="0"/>
  </sheetViews>
  <sheetFormatPr defaultRowHeight="14.4" outlineLevelCol="1" x14ac:dyDescent="0.3"/>
  <cols>
    <col min="1" max="1" width="5.44140625" customWidth="1"/>
    <col min="2" max="2" width="11.109375" customWidth="1"/>
    <col min="3" max="3" width="12.5546875" customWidth="1"/>
    <col min="4" max="4" width="22.33203125" customWidth="1"/>
    <col min="5" max="5" width="26.6640625" hidden="1" customWidth="1"/>
    <col min="6" max="6" width="10.33203125" hidden="1" customWidth="1"/>
    <col min="7" max="7" width="24.5546875" customWidth="1"/>
    <col min="8" max="8" width="42.44140625" customWidth="1"/>
    <col min="9" max="9" width="20.5546875" customWidth="1"/>
    <col min="10" max="10" width="21" customWidth="1"/>
    <col min="11" max="11" width="17" customWidth="1"/>
    <col min="12" max="12" width="10.5546875" customWidth="1"/>
    <col min="13" max="15" width="10.5546875" customWidth="1" outlineLevel="1"/>
    <col min="16" max="16" width="12.33203125" customWidth="1" outlineLevel="1"/>
    <col min="17" max="18" width="10.5546875" customWidth="1" outlineLevel="1"/>
    <col min="19" max="20" width="13.88671875" customWidth="1" outlineLevel="1"/>
    <col min="21" max="21" width="11" customWidth="1" outlineLevel="1"/>
    <col min="22" max="22" width="12.88671875" customWidth="1" outlineLevel="1"/>
    <col min="23" max="23" width="13.33203125" customWidth="1" outlineLevel="1"/>
    <col min="24" max="24" width="11.44140625" customWidth="1"/>
    <col min="25" max="25" width="15.6640625" customWidth="1" outlineLevel="1"/>
    <col min="26" max="26" width="12.109375" customWidth="1" outlineLevel="1"/>
    <col min="27" max="28" width="10.5546875" customWidth="1" outlineLevel="1"/>
    <col min="29" max="29" width="14.44140625" customWidth="1" outlineLevel="1"/>
    <col min="30" max="30" width="10.44140625" customWidth="1"/>
    <col min="31" max="31" width="35.44140625" customWidth="1"/>
    <col min="32" max="32" width="10.5546875" customWidth="1" outlineLevel="1"/>
    <col min="33" max="33" width="13" customWidth="1" outlineLevel="1"/>
    <col min="34" max="34" width="10.5546875" customWidth="1" outlineLevel="1"/>
    <col min="35" max="35" width="13.6640625" customWidth="1" outlineLevel="1"/>
    <col min="36" max="37" width="10.5546875" customWidth="1" outlineLevel="1"/>
    <col min="38" max="39" width="10.5546875" customWidth="1"/>
    <col min="40" max="47" width="9.109375" customWidth="1"/>
    <col min="48" max="51" width="8.88671875" customWidth="1"/>
    <col min="52" max="52" width="9.109375"/>
  </cols>
  <sheetData>
    <row r="3" spans="2:37" ht="53.4" customHeight="1" x14ac:dyDescent="0.3">
      <c r="B3" s="56" t="s">
        <v>53</v>
      </c>
      <c r="C3" s="56" t="s">
        <v>54</v>
      </c>
      <c r="D3" s="56" t="s">
        <v>55</v>
      </c>
      <c r="E3" s="56" t="s">
        <v>56</v>
      </c>
      <c r="F3" s="56" t="s">
        <v>57</v>
      </c>
      <c r="G3" s="56" t="s">
        <v>176</v>
      </c>
      <c r="H3" s="56" t="s">
        <v>58</v>
      </c>
      <c r="I3" s="56" t="s">
        <v>59</v>
      </c>
      <c r="J3" s="56" t="s">
        <v>60</v>
      </c>
      <c r="K3" s="56" t="s">
        <v>61</v>
      </c>
      <c r="L3" s="56" t="s">
        <v>62</v>
      </c>
      <c r="M3" s="56" t="s">
        <v>63</v>
      </c>
      <c r="N3" s="56" t="s">
        <v>64</v>
      </c>
      <c r="O3" s="56" t="s">
        <v>65</v>
      </c>
      <c r="P3" s="56" t="s">
        <v>66</v>
      </c>
      <c r="Q3" s="56" t="s">
        <v>67</v>
      </c>
      <c r="R3" s="56" t="s">
        <v>68</v>
      </c>
      <c r="S3" s="57" t="s">
        <v>69</v>
      </c>
      <c r="T3" s="57" t="s">
        <v>70</v>
      </c>
      <c r="U3" s="57" t="s">
        <v>71</v>
      </c>
      <c r="V3" s="56" t="s">
        <v>72</v>
      </c>
      <c r="W3" s="56" t="s">
        <v>73</v>
      </c>
      <c r="X3" s="56" t="s">
        <v>74</v>
      </c>
      <c r="Y3" s="57" t="s">
        <v>75</v>
      </c>
      <c r="Z3" s="57" t="s">
        <v>76</v>
      </c>
      <c r="AA3" s="57" t="s">
        <v>77</v>
      </c>
      <c r="AB3" s="56" t="s">
        <v>78</v>
      </c>
      <c r="AC3" s="56" t="s">
        <v>79</v>
      </c>
      <c r="AD3" s="56" t="s">
        <v>80</v>
      </c>
      <c r="AE3" s="56" t="s">
        <v>81</v>
      </c>
      <c r="AF3" s="58" t="s">
        <v>82</v>
      </c>
      <c r="AG3" s="58" t="s">
        <v>83</v>
      </c>
      <c r="AH3" s="58" t="s">
        <v>84</v>
      </c>
      <c r="AI3" s="58" t="s">
        <v>85</v>
      </c>
      <c r="AJ3" s="58" t="s">
        <v>86</v>
      </c>
      <c r="AK3" s="58" t="s">
        <v>87</v>
      </c>
    </row>
    <row r="4" spans="2:37" x14ac:dyDescent="0.3">
      <c r="B4" s="4" t="s">
        <v>29</v>
      </c>
      <c r="C4" s="4" t="s">
        <v>88</v>
      </c>
      <c r="D4" s="4" t="s">
        <v>89</v>
      </c>
      <c r="E4" s="4"/>
      <c r="F4" s="4"/>
      <c r="G4" s="4" t="s">
        <v>134</v>
      </c>
      <c r="H4" s="4" t="s">
        <v>48</v>
      </c>
      <c r="I4" s="4" t="s">
        <v>90</v>
      </c>
      <c r="J4" s="4" t="s">
        <v>93</v>
      </c>
      <c r="K4" s="59" t="s">
        <v>97</v>
      </c>
      <c r="L4" s="65">
        <v>5.2833629049535702</v>
      </c>
      <c r="M4" s="60">
        <v>500000</v>
      </c>
      <c r="N4" s="60">
        <v>2358784.5900000003</v>
      </c>
      <c r="O4" s="61">
        <v>4.7175691800000008</v>
      </c>
      <c r="P4" s="60">
        <v>846558</v>
      </c>
      <c r="Q4" s="60">
        <v>1455843.7759999996</v>
      </c>
      <c r="R4" s="61">
        <v>1.7197212429626789</v>
      </c>
      <c r="S4" s="62">
        <v>3241141.68</v>
      </c>
      <c r="T4" s="63">
        <v>573486.68599999906</v>
      </c>
      <c r="U4" s="64">
        <v>0.42589081643716697</v>
      </c>
      <c r="V4" s="60">
        <v>1346558</v>
      </c>
      <c r="W4" s="60">
        <v>3814628.3659999999</v>
      </c>
      <c r="X4" s="65">
        <v>2.8328734194887999</v>
      </c>
      <c r="Y4" s="62">
        <v>151570</v>
      </c>
      <c r="Z4" s="63">
        <v>77840</v>
      </c>
      <c r="AA4" s="64">
        <v>0.24324999999999999</v>
      </c>
      <c r="AB4" s="60">
        <v>320000</v>
      </c>
      <c r="AC4" s="60">
        <v>229410</v>
      </c>
      <c r="AD4" s="72">
        <v>0.71690624999999997</v>
      </c>
      <c r="AE4" s="4" t="s">
        <v>111</v>
      </c>
      <c r="AF4" s="4" t="s">
        <v>2</v>
      </c>
      <c r="AG4" s="4">
        <v>1</v>
      </c>
      <c r="AH4" s="4">
        <v>1</v>
      </c>
      <c r="AI4" s="4"/>
      <c r="AJ4" s="4"/>
      <c r="AK4" s="4">
        <v>3</v>
      </c>
    </row>
    <row r="5" spans="2:37" x14ac:dyDescent="0.3">
      <c r="B5" s="4" t="s">
        <v>1</v>
      </c>
      <c r="C5" s="4" t="s">
        <v>88</v>
      </c>
      <c r="D5" s="4" t="s">
        <v>96</v>
      </c>
      <c r="E5" s="4"/>
      <c r="F5" s="4"/>
      <c r="G5" s="4" t="s">
        <v>135</v>
      </c>
      <c r="H5" s="4" t="s">
        <v>49</v>
      </c>
      <c r="I5" s="4" t="s">
        <v>90</v>
      </c>
      <c r="J5" s="4" t="s">
        <v>91</v>
      </c>
      <c r="K5" s="59" t="s">
        <v>97</v>
      </c>
      <c r="L5" s="65">
        <v>3.7827540892672902</v>
      </c>
      <c r="M5" s="60">
        <v>625000</v>
      </c>
      <c r="N5" s="60">
        <v>2557899.33</v>
      </c>
      <c r="O5" s="61">
        <v>4.0926389280000004</v>
      </c>
      <c r="P5" s="60">
        <v>1766904.03</v>
      </c>
      <c r="Q5" s="60">
        <v>2283410.801</v>
      </c>
      <c r="R5" s="61">
        <v>1.2923230476756566</v>
      </c>
      <c r="S5" s="62">
        <v>3349003.43</v>
      </c>
      <c r="T5" s="63">
        <v>1492306.7009999999</v>
      </c>
      <c r="U5" s="64">
        <v>0.62389907048235504</v>
      </c>
      <c r="V5" s="60">
        <v>2391904.0299999998</v>
      </c>
      <c r="W5" s="60">
        <v>4841310.1310000001</v>
      </c>
      <c r="X5" s="65">
        <v>2.0240402918673999</v>
      </c>
      <c r="Y5" s="62">
        <v>1518821.62</v>
      </c>
      <c r="Z5" s="63">
        <v>40331.199999999903</v>
      </c>
      <c r="AA5" s="64">
        <v>7.68213333333332E-2</v>
      </c>
      <c r="AB5" s="60">
        <v>525000</v>
      </c>
      <c r="AC5" s="60">
        <v>1559152.82</v>
      </c>
      <c r="AD5" s="65">
        <v>2.9698148952381</v>
      </c>
      <c r="AE5" s="4" t="s">
        <v>111</v>
      </c>
      <c r="AF5" s="4" t="s">
        <v>109</v>
      </c>
      <c r="AG5" s="4">
        <v>1</v>
      </c>
      <c r="AH5" s="4">
        <v>1</v>
      </c>
      <c r="AI5" s="4"/>
      <c r="AJ5" s="4"/>
      <c r="AK5" s="4">
        <v>3</v>
      </c>
    </row>
    <row r="6" spans="2:37" x14ac:dyDescent="0.3">
      <c r="B6" s="4" t="s">
        <v>29</v>
      </c>
      <c r="C6" s="4" t="s">
        <v>88</v>
      </c>
      <c r="D6" s="4" t="s">
        <v>92</v>
      </c>
      <c r="E6" s="4"/>
      <c r="F6" s="4"/>
      <c r="G6" s="4" t="s">
        <v>136</v>
      </c>
      <c r="H6" s="4" t="s">
        <v>45</v>
      </c>
      <c r="I6" s="4" t="s">
        <v>90</v>
      </c>
      <c r="J6" s="4" t="s">
        <v>93</v>
      </c>
      <c r="K6" s="59" t="s">
        <v>97</v>
      </c>
      <c r="L6" s="73">
        <v>2.23005711183685</v>
      </c>
      <c r="M6" s="60">
        <v>500000</v>
      </c>
      <c r="N6" s="60">
        <v>1073645.3391649998</v>
      </c>
      <c r="O6" s="61">
        <v>2.1472906783299996</v>
      </c>
      <c r="P6" s="60">
        <v>3160709</v>
      </c>
      <c r="Q6" s="60">
        <v>3401115.4550000005</v>
      </c>
      <c r="R6" s="61">
        <v>1.0760609265199677</v>
      </c>
      <c r="S6" s="62">
        <v>4208260.7941650003</v>
      </c>
      <c r="T6" s="63">
        <v>266500</v>
      </c>
      <c r="U6" s="64">
        <v>7.2800105116249306E-2</v>
      </c>
      <c r="V6" s="60">
        <v>3660709</v>
      </c>
      <c r="W6" s="60">
        <v>4474760.7941650003</v>
      </c>
      <c r="X6" s="61">
        <v>1.2223754453481599</v>
      </c>
      <c r="Y6" s="62">
        <v>658698.04</v>
      </c>
      <c r="Z6" s="63">
        <v>0</v>
      </c>
      <c r="AA6" s="64">
        <v>0</v>
      </c>
      <c r="AB6" s="60">
        <v>550000</v>
      </c>
      <c r="AC6" s="60">
        <v>658698.04</v>
      </c>
      <c r="AD6" s="72">
        <v>1.1976328000000001</v>
      </c>
      <c r="AE6" s="4" t="s">
        <v>111</v>
      </c>
      <c r="AF6" s="4"/>
      <c r="AG6" s="4"/>
      <c r="AH6" s="4">
        <v>1</v>
      </c>
      <c r="AI6" s="4"/>
      <c r="AJ6" s="4"/>
      <c r="AK6" s="4">
        <v>1</v>
      </c>
    </row>
    <row r="7" spans="2:37" x14ac:dyDescent="0.3">
      <c r="B7" s="4" t="s">
        <v>29</v>
      </c>
      <c r="C7" s="4" t="s">
        <v>88</v>
      </c>
      <c r="D7" s="4" t="s">
        <v>94</v>
      </c>
      <c r="E7" s="4"/>
      <c r="F7" s="4"/>
      <c r="G7" s="4" t="s">
        <v>137</v>
      </c>
      <c r="H7" s="4" t="s">
        <v>47</v>
      </c>
      <c r="I7" s="4" t="s">
        <v>90</v>
      </c>
      <c r="J7" s="4" t="s">
        <v>95</v>
      </c>
      <c r="K7" s="59" t="s">
        <v>97</v>
      </c>
      <c r="L7" s="73">
        <v>1.6086123593163799</v>
      </c>
      <c r="M7" s="60">
        <v>2200000</v>
      </c>
      <c r="N7" s="60">
        <v>0</v>
      </c>
      <c r="O7" s="61">
        <v>0</v>
      </c>
      <c r="P7" s="60">
        <v>3584193</v>
      </c>
      <c r="Q7" s="60">
        <v>0</v>
      </c>
      <c r="R7" s="61">
        <v>0</v>
      </c>
      <c r="S7" s="62">
        <v>5068215.5769999996</v>
      </c>
      <c r="T7" s="63">
        <v>1285457.946</v>
      </c>
      <c r="U7" s="64">
        <v>0.222236351034621</v>
      </c>
      <c r="V7" s="60">
        <v>5784193</v>
      </c>
      <c r="W7" s="60">
        <v>6353673.523</v>
      </c>
      <c r="X7" s="61">
        <v>1.0984546198579499</v>
      </c>
      <c r="Y7" s="62">
        <v>1070687.0900000001</v>
      </c>
      <c r="Z7" s="63">
        <v>77840</v>
      </c>
      <c r="AA7" s="64">
        <v>5.9876923076923001E-2</v>
      </c>
      <c r="AB7" s="60">
        <v>1300000</v>
      </c>
      <c r="AC7" s="60">
        <v>1148527.0900000001</v>
      </c>
      <c r="AD7" s="72">
        <v>0.88348237692307696</v>
      </c>
      <c r="AE7" s="4" t="s">
        <v>111</v>
      </c>
      <c r="AF7" s="4"/>
      <c r="AG7" s="4"/>
      <c r="AH7" s="4">
        <v>1</v>
      </c>
      <c r="AI7" s="4"/>
      <c r="AJ7" s="4"/>
      <c r="AK7" s="4">
        <v>1</v>
      </c>
    </row>
    <row r="8" spans="2:37" x14ac:dyDescent="0.3">
      <c r="B8" s="74"/>
      <c r="C8" s="74"/>
      <c r="D8" s="74"/>
      <c r="E8" s="74"/>
      <c r="F8" s="74"/>
      <c r="G8" s="74"/>
      <c r="H8" s="74"/>
      <c r="I8" s="74"/>
      <c r="J8" s="74"/>
      <c r="K8" s="75"/>
      <c r="L8" s="76"/>
      <c r="M8" s="75"/>
      <c r="N8" s="75"/>
      <c r="O8" s="77"/>
      <c r="P8" s="75"/>
      <c r="Q8" s="75"/>
      <c r="R8" s="77"/>
      <c r="S8" s="78"/>
      <c r="T8" s="79"/>
      <c r="U8" s="80"/>
      <c r="V8" s="75"/>
      <c r="W8" s="75"/>
      <c r="X8" s="77"/>
      <c r="Y8" s="62"/>
      <c r="Z8" s="63"/>
      <c r="AA8" s="64"/>
      <c r="AB8" s="60"/>
      <c r="AC8" s="60"/>
      <c r="AD8" s="65"/>
      <c r="AE8" s="4"/>
      <c r="AF8" s="4"/>
      <c r="AG8" s="4"/>
      <c r="AH8" s="4"/>
      <c r="AI8" s="4"/>
      <c r="AJ8" s="4"/>
      <c r="AK8" s="4"/>
    </row>
    <row r="9" spans="2:37" x14ac:dyDescent="0.3">
      <c r="B9" s="74"/>
      <c r="C9" s="74"/>
      <c r="D9" s="74"/>
      <c r="E9" s="74"/>
      <c r="F9" s="74"/>
      <c r="G9" s="74"/>
      <c r="H9" s="74"/>
      <c r="I9" s="74"/>
      <c r="J9" s="74"/>
      <c r="K9" s="75"/>
      <c r="L9" s="77"/>
      <c r="M9" s="75"/>
      <c r="N9" s="75"/>
      <c r="O9" s="77"/>
      <c r="P9" s="75"/>
      <c r="Q9" s="75"/>
      <c r="R9" s="77"/>
      <c r="S9" s="78"/>
      <c r="T9" s="79"/>
      <c r="U9" s="80"/>
      <c r="V9" s="75"/>
      <c r="W9" s="75"/>
      <c r="X9" s="77"/>
      <c r="Y9" s="62"/>
      <c r="Z9" s="63"/>
      <c r="AA9" s="64"/>
      <c r="AB9" s="60"/>
      <c r="AC9" s="60"/>
      <c r="AD9" s="65"/>
      <c r="AE9" s="4"/>
      <c r="AF9" s="4"/>
      <c r="AG9" s="4"/>
      <c r="AH9" s="4"/>
      <c r="AI9" s="4"/>
      <c r="AJ9" s="4"/>
      <c r="AK9" s="4"/>
    </row>
    <row r="10" spans="2:37" x14ac:dyDescent="0.3">
      <c r="B10" s="74"/>
      <c r="C10" s="74"/>
      <c r="D10" s="74"/>
      <c r="E10" s="74"/>
      <c r="F10" s="74"/>
      <c r="G10" s="74"/>
      <c r="H10" s="74"/>
      <c r="I10" s="74"/>
      <c r="J10" s="74"/>
      <c r="K10" s="75"/>
      <c r="L10" s="76"/>
      <c r="M10" s="75"/>
      <c r="N10" s="75"/>
      <c r="O10" s="77"/>
      <c r="P10" s="75"/>
      <c r="Q10" s="75"/>
      <c r="R10" s="77"/>
      <c r="S10" s="78"/>
      <c r="T10" s="79"/>
      <c r="U10" s="80"/>
      <c r="V10" s="75"/>
      <c r="W10" s="75"/>
      <c r="X10" s="77"/>
      <c r="Y10" s="62"/>
      <c r="Z10" s="63"/>
      <c r="AA10" s="64"/>
      <c r="AB10" s="60"/>
      <c r="AC10" s="60"/>
      <c r="AD10" s="65"/>
      <c r="AE10" s="4"/>
      <c r="AF10" s="4"/>
      <c r="AG10" s="4"/>
      <c r="AH10" s="4"/>
      <c r="AI10" s="4"/>
      <c r="AJ10" s="4"/>
      <c r="AK10" s="4"/>
    </row>
    <row r="11" spans="2:37" x14ac:dyDescent="0.3">
      <c r="B11" s="74"/>
      <c r="C11" s="74"/>
      <c r="D11" s="74"/>
      <c r="E11" s="74"/>
      <c r="F11" s="74"/>
      <c r="G11" s="74"/>
      <c r="H11" s="74"/>
      <c r="I11" s="74"/>
      <c r="J11" s="74"/>
      <c r="K11" s="75"/>
      <c r="L11" s="76"/>
      <c r="M11" s="75"/>
      <c r="N11" s="75"/>
      <c r="O11" s="77"/>
      <c r="P11" s="75"/>
      <c r="Q11" s="75"/>
      <c r="R11" s="77"/>
      <c r="S11" s="78"/>
      <c r="T11" s="79"/>
      <c r="U11" s="80"/>
      <c r="V11" s="75"/>
      <c r="W11" s="75"/>
      <c r="X11" s="77"/>
      <c r="Y11" s="62"/>
      <c r="Z11" s="63"/>
      <c r="AA11" s="64"/>
      <c r="AB11" s="60"/>
      <c r="AC11" s="60"/>
      <c r="AD11" s="65"/>
      <c r="AE11" s="4"/>
      <c r="AF11" s="4"/>
      <c r="AG11" s="4"/>
      <c r="AH11" s="4"/>
      <c r="AI11" s="4"/>
      <c r="AJ11" s="4"/>
      <c r="AK11" s="4"/>
    </row>
    <row r="12" spans="2:37" x14ac:dyDescent="0.3">
      <c r="B12" s="74"/>
      <c r="C12" s="74"/>
      <c r="D12" s="74"/>
      <c r="E12" s="74"/>
      <c r="F12" s="74"/>
      <c r="G12" s="74"/>
      <c r="H12" s="74"/>
      <c r="I12" s="74"/>
      <c r="J12" s="74"/>
      <c r="K12" s="75"/>
      <c r="L12" s="76"/>
      <c r="M12" s="75"/>
      <c r="N12" s="75"/>
      <c r="O12" s="77"/>
      <c r="P12" s="75"/>
      <c r="Q12" s="75"/>
      <c r="R12" s="77"/>
      <c r="S12" s="78"/>
      <c r="T12" s="79"/>
      <c r="U12" s="80"/>
      <c r="V12" s="75"/>
      <c r="W12" s="75"/>
      <c r="X12" s="77"/>
      <c r="Y12" s="62"/>
      <c r="Z12" s="63"/>
      <c r="AA12" s="64"/>
      <c r="AB12" s="60"/>
      <c r="AC12" s="60"/>
      <c r="AD12" s="65"/>
      <c r="AE12" s="4"/>
      <c r="AF12" s="4"/>
      <c r="AG12" s="4"/>
      <c r="AH12" s="4"/>
      <c r="AI12" s="4"/>
      <c r="AJ12" s="4"/>
      <c r="AK12" s="4"/>
    </row>
    <row r="13" spans="2:37" x14ac:dyDescent="0.3">
      <c r="B13" s="74"/>
      <c r="C13" s="74"/>
      <c r="D13" s="74"/>
      <c r="E13" s="74"/>
      <c r="F13" s="74"/>
      <c r="G13" s="74"/>
      <c r="H13" s="74"/>
      <c r="I13" s="74"/>
      <c r="J13" s="74"/>
      <c r="K13" s="75"/>
      <c r="L13" s="76"/>
      <c r="M13" s="75"/>
      <c r="N13" s="75"/>
      <c r="O13" s="77"/>
      <c r="P13" s="75"/>
      <c r="Q13" s="75"/>
      <c r="R13" s="77"/>
      <c r="S13" s="78"/>
      <c r="T13" s="79"/>
      <c r="U13" s="80"/>
      <c r="V13" s="75"/>
      <c r="W13" s="75"/>
      <c r="X13" s="77"/>
      <c r="Y13" s="62"/>
      <c r="Z13" s="63"/>
      <c r="AA13" s="64"/>
      <c r="AB13" s="60"/>
      <c r="AC13" s="60"/>
      <c r="AD13" s="65"/>
      <c r="AE13" s="4"/>
      <c r="AF13" s="4"/>
      <c r="AG13" s="4"/>
      <c r="AH13" s="4"/>
      <c r="AI13" s="4"/>
      <c r="AJ13" s="4"/>
      <c r="AK13" s="4"/>
    </row>
    <row r="14" spans="2:37" x14ac:dyDescent="0.3">
      <c r="B14" s="74"/>
      <c r="C14" s="74"/>
      <c r="D14" s="74"/>
      <c r="E14" s="74"/>
      <c r="F14" s="74"/>
      <c r="G14" s="74"/>
      <c r="H14" s="74"/>
      <c r="I14" s="74"/>
      <c r="J14" s="74"/>
      <c r="K14" s="75"/>
      <c r="L14" s="77"/>
      <c r="M14" s="75"/>
      <c r="N14" s="75"/>
      <c r="O14" s="77"/>
      <c r="P14" s="75"/>
      <c r="Q14" s="75"/>
      <c r="R14" s="77"/>
      <c r="S14" s="78"/>
      <c r="T14" s="79"/>
      <c r="U14" s="80"/>
      <c r="V14" s="75"/>
      <c r="W14" s="75"/>
      <c r="X14" s="77"/>
      <c r="Y14" s="62"/>
      <c r="Z14" s="63"/>
      <c r="AA14" s="64"/>
      <c r="AB14" s="60"/>
      <c r="AC14" s="60"/>
      <c r="AD14" s="65"/>
      <c r="AE14" s="4"/>
      <c r="AF14" s="4"/>
      <c r="AG14" s="4"/>
      <c r="AH14" s="4"/>
      <c r="AI14" s="4"/>
      <c r="AJ14" s="4"/>
      <c r="AK14" s="4"/>
    </row>
    <row r="15" spans="2:37" x14ac:dyDescent="0.3">
      <c r="B15" s="74"/>
      <c r="C15" s="74"/>
      <c r="D15" s="74"/>
      <c r="E15" s="74"/>
      <c r="F15" s="74"/>
      <c r="G15" s="74"/>
      <c r="H15" s="74"/>
      <c r="I15" s="74"/>
      <c r="J15" s="74"/>
      <c r="K15" s="75"/>
      <c r="L15" s="77"/>
      <c r="M15" s="75"/>
      <c r="N15" s="75"/>
      <c r="O15" s="77"/>
      <c r="P15" s="75"/>
      <c r="Q15" s="75"/>
      <c r="R15" s="77"/>
      <c r="S15" s="78"/>
      <c r="T15" s="79"/>
      <c r="U15" s="80"/>
      <c r="V15" s="75"/>
      <c r="W15" s="75"/>
      <c r="X15" s="77"/>
      <c r="Y15" s="62"/>
      <c r="Z15" s="63"/>
      <c r="AA15" s="64"/>
      <c r="AB15" s="60"/>
      <c r="AC15" s="60"/>
      <c r="AD15" s="65"/>
      <c r="AE15" s="4"/>
      <c r="AF15" s="4"/>
      <c r="AG15" s="4"/>
      <c r="AH15" s="4"/>
      <c r="AI15" s="4"/>
      <c r="AJ15" s="4"/>
      <c r="AK15" s="4"/>
    </row>
    <row r="16" spans="2:37" x14ac:dyDescent="0.3">
      <c r="B16" s="74"/>
      <c r="C16" s="74"/>
      <c r="D16" s="74"/>
      <c r="E16" s="74"/>
      <c r="F16" s="74"/>
      <c r="G16" s="74"/>
      <c r="H16" s="74"/>
      <c r="I16" s="74"/>
      <c r="J16" s="74"/>
      <c r="K16" s="75"/>
      <c r="L16" s="76"/>
      <c r="M16" s="75"/>
      <c r="N16" s="75"/>
      <c r="O16" s="77"/>
      <c r="P16" s="75"/>
      <c r="Q16" s="75"/>
      <c r="R16" s="77"/>
      <c r="S16" s="78"/>
      <c r="T16" s="79"/>
      <c r="U16" s="80"/>
      <c r="V16" s="75"/>
      <c r="W16" s="75"/>
      <c r="X16" s="77"/>
      <c r="Y16" s="62"/>
      <c r="Z16" s="63"/>
      <c r="AA16" s="64"/>
      <c r="AB16" s="60"/>
      <c r="AC16" s="60"/>
      <c r="AD16" s="65"/>
      <c r="AE16" s="4"/>
      <c r="AF16" s="4"/>
      <c r="AG16" s="4"/>
      <c r="AH16" s="4"/>
      <c r="AI16" s="4"/>
      <c r="AJ16" s="4"/>
      <c r="AK16" s="4"/>
    </row>
    <row r="17" spans="2:37" x14ac:dyDescent="0.3">
      <c r="B17" s="74"/>
      <c r="C17" s="74"/>
      <c r="D17" s="74"/>
      <c r="E17" s="74"/>
      <c r="F17" s="74"/>
      <c r="G17" s="74"/>
      <c r="H17" s="74"/>
      <c r="I17" s="74"/>
      <c r="J17" s="74"/>
      <c r="K17" s="75"/>
      <c r="L17" s="77"/>
      <c r="M17" s="75"/>
      <c r="N17" s="75"/>
      <c r="O17" s="77"/>
      <c r="P17" s="75"/>
      <c r="Q17" s="75"/>
      <c r="R17" s="77"/>
      <c r="S17" s="78"/>
      <c r="T17" s="79"/>
      <c r="U17" s="80"/>
      <c r="V17" s="75"/>
      <c r="W17" s="75"/>
      <c r="X17" s="77"/>
      <c r="Y17" s="62"/>
      <c r="Z17" s="63"/>
      <c r="AA17" s="64"/>
      <c r="AB17" s="60"/>
      <c r="AC17" s="60"/>
      <c r="AD17" s="65"/>
      <c r="AE17" s="4"/>
      <c r="AF17" s="4"/>
      <c r="AG17" s="4"/>
      <c r="AH17" s="4"/>
      <c r="AI17" s="4"/>
      <c r="AJ17" s="4"/>
      <c r="AK17" s="4"/>
    </row>
    <row r="18" spans="2:37" x14ac:dyDescent="0.3">
      <c r="B18" s="74"/>
      <c r="C18" s="74"/>
      <c r="D18" s="74"/>
      <c r="E18" s="74"/>
      <c r="F18" s="74"/>
      <c r="G18" s="74"/>
      <c r="H18" s="74"/>
      <c r="I18" s="74"/>
      <c r="J18" s="74"/>
      <c r="K18" s="75"/>
      <c r="L18" s="77"/>
      <c r="M18" s="75"/>
      <c r="N18" s="75"/>
      <c r="O18" s="77"/>
      <c r="P18" s="75"/>
      <c r="Q18" s="75"/>
      <c r="R18" s="77"/>
      <c r="S18" s="78"/>
      <c r="T18" s="79"/>
      <c r="U18" s="80"/>
      <c r="V18" s="75"/>
      <c r="W18" s="75"/>
      <c r="X18" s="77"/>
      <c r="Y18" s="62"/>
      <c r="Z18" s="63"/>
      <c r="AA18" s="64"/>
      <c r="AB18" s="60"/>
      <c r="AC18" s="60"/>
      <c r="AD18" s="65"/>
      <c r="AE18" s="4"/>
      <c r="AF18" s="4"/>
      <c r="AG18" s="4"/>
      <c r="AH18" s="4"/>
      <c r="AI18" s="4"/>
      <c r="AJ18" s="4"/>
      <c r="AK18" s="4"/>
    </row>
    <row r="19" spans="2:37" x14ac:dyDescent="0.3">
      <c r="B19" s="74"/>
      <c r="C19" s="74"/>
      <c r="D19" s="74"/>
      <c r="E19" s="74"/>
      <c r="F19" s="74"/>
      <c r="G19" s="74"/>
      <c r="H19" s="74"/>
      <c r="I19" s="74"/>
      <c r="J19" s="74"/>
      <c r="K19" s="75"/>
      <c r="L19" s="76"/>
      <c r="M19" s="75"/>
      <c r="N19" s="75"/>
      <c r="O19" s="77"/>
      <c r="P19" s="75"/>
      <c r="Q19" s="75"/>
      <c r="R19" s="77"/>
      <c r="S19" s="78"/>
      <c r="T19" s="79"/>
      <c r="U19" s="80"/>
      <c r="V19" s="75"/>
      <c r="W19" s="75"/>
      <c r="X19" s="77"/>
      <c r="Y19" s="62"/>
      <c r="Z19" s="63"/>
      <c r="AA19" s="64"/>
      <c r="AB19" s="60"/>
      <c r="AC19" s="60"/>
      <c r="AD19" s="65"/>
      <c r="AE19" s="4"/>
      <c r="AF19" s="4"/>
      <c r="AG19" s="4"/>
      <c r="AH19" s="4"/>
      <c r="AI19" s="4"/>
      <c r="AJ19" s="4"/>
      <c r="AK19" s="4"/>
    </row>
    <row r="20" spans="2:37" x14ac:dyDescent="0.3">
      <c r="B20" s="74"/>
      <c r="C20" s="74"/>
      <c r="D20" s="74"/>
      <c r="E20" s="74"/>
      <c r="F20" s="74"/>
      <c r="G20" s="74"/>
      <c r="H20" s="74"/>
      <c r="I20" s="74"/>
      <c r="J20" s="74"/>
      <c r="K20" s="75"/>
      <c r="L20" s="76"/>
      <c r="M20" s="75"/>
      <c r="N20" s="75"/>
      <c r="O20" s="77"/>
      <c r="P20" s="75"/>
      <c r="Q20" s="75"/>
      <c r="R20" s="77"/>
      <c r="S20" s="78"/>
      <c r="T20" s="79"/>
      <c r="U20" s="80"/>
      <c r="V20" s="75"/>
      <c r="W20" s="75"/>
      <c r="X20" s="77"/>
      <c r="Y20" s="62"/>
      <c r="Z20" s="63"/>
      <c r="AA20" s="64"/>
      <c r="AB20" s="60"/>
      <c r="AC20" s="60"/>
      <c r="AD20" s="65"/>
      <c r="AE20" s="4"/>
      <c r="AF20" s="4"/>
      <c r="AG20" s="4"/>
      <c r="AH20" s="4"/>
      <c r="AI20" s="4"/>
      <c r="AJ20" s="4"/>
      <c r="AK20" s="4"/>
    </row>
    <row r="21" spans="2:37" x14ac:dyDescent="0.3">
      <c r="B21" s="74"/>
      <c r="C21" s="74"/>
      <c r="D21" s="74"/>
      <c r="E21" s="74"/>
      <c r="F21" s="74"/>
      <c r="G21" s="74"/>
      <c r="H21" s="74"/>
      <c r="I21" s="74"/>
      <c r="J21" s="74"/>
      <c r="K21" s="75"/>
      <c r="L21" s="76"/>
      <c r="M21" s="75"/>
      <c r="N21" s="75"/>
      <c r="O21" s="77"/>
      <c r="P21" s="75"/>
      <c r="Q21" s="75"/>
      <c r="R21" s="77"/>
      <c r="S21" s="78"/>
      <c r="T21" s="79"/>
      <c r="U21" s="80"/>
      <c r="V21" s="75"/>
      <c r="W21" s="75"/>
      <c r="X21" s="77"/>
      <c r="Y21" s="62"/>
      <c r="Z21" s="63"/>
      <c r="AA21" s="64"/>
      <c r="AB21" s="60"/>
      <c r="AC21" s="60"/>
      <c r="AD21" s="65"/>
      <c r="AE21" s="4"/>
      <c r="AF21" s="4"/>
      <c r="AG21" s="4"/>
      <c r="AH21" s="4"/>
      <c r="AI21" s="4"/>
      <c r="AJ21" s="4"/>
      <c r="AK21" s="4"/>
    </row>
    <row r="22" spans="2:37" x14ac:dyDescent="0.3">
      <c r="B22" s="74"/>
      <c r="C22" s="74"/>
      <c r="D22" s="74"/>
      <c r="E22" s="74"/>
      <c r="F22" s="74"/>
      <c r="G22" s="74"/>
      <c r="H22" s="74"/>
      <c r="I22" s="74"/>
      <c r="J22" s="74"/>
      <c r="K22" s="75"/>
      <c r="L22" s="77"/>
      <c r="M22" s="75"/>
      <c r="N22" s="75"/>
      <c r="O22" s="77"/>
      <c r="P22" s="75"/>
      <c r="Q22" s="75"/>
      <c r="R22" s="77"/>
      <c r="S22" s="78"/>
      <c r="T22" s="79"/>
      <c r="U22" s="80"/>
      <c r="V22" s="75"/>
      <c r="W22" s="75"/>
      <c r="X22" s="77"/>
      <c r="Y22" s="62"/>
      <c r="Z22" s="63"/>
      <c r="AA22" s="64"/>
      <c r="AB22" s="60"/>
      <c r="AC22" s="60"/>
      <c r="AD22" s="65"/>
      <c r="AE22" s="4"/>
      <c r="AF22" s="4"/>
      <c r="AG22" s="4"/>
      <c r="AH22" s="4"/>
      <c r="AI22" s="4"/>
      <c r="AJ22" s="4"/>
      <c r="AK22" s="4"/>
    </row>
    <row r="23" spans="2:37" x14ac:dyDescent="0.3">
      <c r="B23" s="74"/>
      <c r="C23" s="74"/>
      <c r="D23" s="74"/>
      <c r="E23" s="74"/>
      <c r="F23" s="74"/>
      <c r="G23" s="74"/>
      <c r="H23" s="74"/>
      <c r="I23" s="74"/>
      <c r="J23" s="74"/>
      <c r="K23" s="75"/>
      <c r="L23" s="77"/>
      <c r="M23" s="75"/>
      <c r="N23" s="75"/>
      <c r="O23" s="77"/>
      <c r="P23" s="75"/>
      <c r="Q23" s="75"/>
      <c r="R23" s="77"/>
      <c r="S23" s="78"/>
      <c r="T23" s="79"/>
      <c r="U23" s="80"/>
      <c r="V23" s="75"/>
      <c r="W23" s="75"/>
      <c r="X23" s="77"/>
      <c r="Y23" s="62"/>
      <c r="Z23" s="63"/>
      <c r="AA23" s="64"/>
      <c r="AB23" s="60"/>
      <c r="AC23" s="60"/>
      <c r="AD23" s="65"/>
      <c r="AE23" s="4"/>
      <c r="AF23" s="4"/>
      <c r="AG23" s="4"/>
      <c r="AH23" s="4"/>
      <c r="AI23" s="4"/>
      <c r="AJ23" s="4"/>
      <c r="AK23" s="4"/>
    </row>
  </sheetData>
  <sortState xmlns:xlrd2="http://schemas.microsoft.com/office/spreadsheetml/2017/richdata2" ref="B8:AL23">
    <sortCondition ref="B8:B23"/>
  </sortState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68A09-B6E4-4217-BEF5-5B847AF2B4FC}">
  <sheetPr codeName="Sheet26">
    <tabColor rgb="FF00B0F0"/>
  </sheetPr>
  <dimension ref="A1:C50"/>
  <sheetViews>
    <sheetView workbookViewId="0">
      <selection activeCell="A2" sqref="A2:A5"/>
    </sheetView>
  </sheetViews>
  <sheetFormatPr defaultRowHeight="14.4" x14ac:dyDescent="0.3"/>
  <cols>
    <col min="1" max="1" width="30.88671875" customWidth="1"/>
    <col min="2" max="2" width="19.44140625" customWidth="1"/>
  </cols>
  <sheetData>
    <row r="1" spans="1:3" x14ac:dyDescent="0.3">
      <c r="B1" t="str">
        <f>SUBSTITUTE(SUBSTITUTE($A1, " ", "_"), CLEAN($A1), "")</f>
        <v/>
      </c>
      <c r="C1" t="str">
        <f>SUBSTITUTE(SUBSTITUTE($A1, CHAR(10), " "), CLEAN($A1), "")</f>
        <v/>
      </c>
    </row>
    <row r="2" spans="1:3" x14ac:dyDescent="0.3">
      <c r="A2" t="s">
        <v>134</v>
      </c>
      <c r="B2" s="3" t="str">
        <f>LEFT(SUBSTITUTE(SUBSTITUTE(SUBSTITUTE($A2, " ", "_"), ",", ""), ".", ""),20)</f>
        <v>Aaron_Spencer</v>
      </c>
      <c r="C2" t="s">
        <v>1</v>
      </c>
    </row>
    <row r="3" spans="1:3" x14ac:dyDescent="0.3">
      <c r="A3" t="s">
        <v>135</v>
      </c>
      <c r="B3" s="3" t="str">
        <f t="shared" ref="B3:B35" si="0">LEFT(SUBSTITUTE(SUBSTITUTE(SUBSTITUTE($A3, " ", "_"), ",", ""), ".", ""),20)</f>
        <v>Bethany_Morgan</v>
      </c>
      <c r="C3" t="s">
        <v>1</v>
      </c>
    </row>
    <row r="4" spans="1:3" x14ac:dyDescent="0.3">
      <c r="A4" t="s">
        <v>136</v>
      </c>
      <c r="B4" s="3" t="str">
        <f t="shared" si="0"/>
        <v>Calvin_Fisher</v>
      </c>
      <c r="C4" t="s">
        <v>1</v>
      </c>
    </row>
    <row r="5" spans="1:3" x14ac:dyDescent="0.3">
      <c r="A5" t="s">
        <v>137</v>
      </c>
      <c r="B5" s="3" t="str">
        <f t="shared" si="0"/>
        <v>Diane_Clark</v>
      </c>
      <c r="C5" t="s">
        <v>1</v>
      </c>
    </row>
    <row r="6" spans="1:3" x14ac:dyDescent="0.3">
      <c r="A6" t="s">
        <v>138</v>
      </c>
      <c r="B6" s="3" t="str">
        <f t="shared" si="0"/>
        <v>Ethan_Warner</v>
      </c>
      <c r="C6" t="s">
        <v>1</v>
      </c>
    </row>
    <row r="7" spans="1:3" x14ac:dyDescent="0.3">
      <c r="A7" t="s">
        <v>139</v>
      </c>
      <c r="B7" s="3" t="str">
        <f t="shared" si="0"/>
        <v>Fiona_Cooper</v>
      </c>
      <c r="C7" t="s">
        <v>1</v>
      </c>
    </row>
    <row r="8" spans="1:3" x14ac:dyDescent="0.3">
      <c r="A8" t="s">
        <v>140</v>
      </c>
      <c r="B8" s="3" t="str">
        <f t="shared" si="0"/>
        <v>Gavin_Lawrence</v>
      </c>
      <c r="C8" t="s">
        <v>1</v>
      </c>
    </row>
    <row r="9" spans="1:3" x14ac:dyDescent="0.3">
      <c r="A9" t="s">
        <v>141</v>
      </c>
      <c r="B9" s="3" t="str">
        <f t="shared" si="0"/>
        <v>Hannah_Edwards</v>
      </c>
      <c r="C9" t="s">
        <v>1</v>
      </c>
    </row>
    <row r="10" spans="1:3" x14ac:dyDescent="0.3">
      <c r="A10" t="s">
        <v>142</v>
      </c>
      <c r="B10" s="3" t="str">
        <f t="shared" si="0"/>
        <v>Isaac_Scott</v>
      </c>
      <c r="C10" t="s">
        <v>1</v>
      </c>
    </row>
    <row r="11" spans="1:3" x14ac:dyDescent="0.3">
      <c r="A11" t="s">
        <v>143</v>
      </c>
      <c r="B11" s="3" t="str">
        <f t="shared" si="0"/>
        <v>Jenna_Bailey</v>
      </c>
      <c r="C11" t="s">
        <v>1</v>
      </c>
    </row>
    <row r="12" spans="1:3" x14ac:dyDescent="0.3">
      <c r="A12" t="s">
        <v>144</v>
      </c>
      <c r="B12" s="3" t="str">
        <f t="shared" si="0"/>
        <v>Kyle_Simmons</v>
      </c>
      <c r="C12" t="s">
        <v>28</v>
      </c>
    </row>
    <row r="13" spans="1:3" x14ac:dyDescent="0.3">
      <c r="A13" t="s">
        <v>145</v>
      </c>
      <c r="B13" s="3" t="str">
        <f t="shared" si="0"/>
        <v>Lauren_Hayes</v>
      </c>
      <c r="C13" t="s">
        <v>28</v>
      </c>
    </row>
    <row r="14" spans="1:3" x14ac:dyDescent="0.3">
      <c r="A14" t="s">
        <v>146</v>
      </c>
      <c r="B14" s="3" t="str">
        <f t="shared" si="0"/>
        <v>Marcus_Blake</v>
      </c>
      <c r="C14" t="s">
        <v>28</v>
      </c>
    </row>
    <row r="15" spans="1:3" x14ac:dyDescent="0.3">
      <c r="A15" t="s">
        <v>147</v>
      </c>
      <c r="B15" s="3" t="str">
        <f t="shared" si="0"/>
        <v>Natalie_Perez</v>
      </c>
      <c r="C15" t="s">
        <v>28</v>
      </c>
    </row>
    <row r="16" spans="1:3" x14ac:dyDescent="0.3">
      <c r="A16" t="s">
        <v>148</v>
      </c>
      <c r="B16" s="3" t="str">
        <f t="shared" si="0"/>
        <v>Oliver_Dawson</v>
      </c>
      <c r="C16" t="s">
        <v>28</v>
      </c>
    </row>
    <row r="17" spans="1:3" x14ac:dyDescent="0.3">
      <c r="A17" t="s">
        <v>149</v>
      </c>
      <c r="B17" s="3" t="str">
        <f t="shared" si="0"/>
        <v>Paige_Young</v>
      </c>
      <c r="C17" t="s">
        <v>46</v>
      </c>
    </row>
    <row r="18" spans="1:3" x14ac:dyDescent="0.3">
      <c r="A18" t="s">
        <v>150</v>
      </c>
      <c r="B18" s="3" t="str">
        <f t="shared" si="0"/>
        <v>Quentin_Murphy</v>
      </c>
      <c r="C18" t="s">
        <v>46</v>
      </c>
    </row>
    <row r="19" spans="1:3" x14ac:dyDescent="0.3">
      <c r="A19" t="s">
        <v>151</v>
      </c>
      <c r="B19" s="3" t="str">
        <f t="shared" si="0"/>
        <v>Rachel_Hart</v>
      </c>
      <c r="C19" t="s">
        <v>46</v>
      </c>
    </row>
    <row r="20" spans="1:3" x14ac:dyDescent="0.3">
      <c r="A20" t="s">
        <v>152</v>
      </c>
      <c r="B20" s="3" t="str">
        <f t="shared" si="0"/>
        <v>Samuel_Nelson</v>
      </c>
      <c r="C20" t="s">
        <v>46</v>
      </c>
    </row>
    <row r="21" spans="1:3" x14ac:dyDescent="0.3">
      <c r="A21" t="s">
        <v>153</v>
      </c>
      <c r="B21" s="3" t="str">
        <f t="shared" si="0"/>
        <v>Tessa_Foster</v>
      </c>
      <c r="C21" t="s">
        <v>46</v>
      </c>
    </row>
    <row r="22" spans="1:3" x14ac:dyDescent="0.3">
      <c r="A22" t="s">
        <v>154</v>
      </c>
      <c r="B22" s="3" t="str">
        <f t="shared" si="0"/>
        <v>Ulysses_Miller</v>
      </c>
      <c r="C22" t="s">
        <v>46</v>
      </c>
    </row>
    <row r="23" spans="1:3" x14ac:dyDescent="0.3">
      <c r="A23" t="s">
        <v>155</v>
      </c>
      <c r="B23" s="3" t="str">
        <f t="shared" si="0"/>
        <v>Vanessa_Reid</v>
      </c>
      <c r="C23" t="s">
        <v>46</v>
      </c>
    </row>
    <row r="24" spans="1:3" x14ac:dyDescent="0.3">
      <c r="A24" t="s">
        <v>156</v>
      </c>
      <c r="B24" s="3" t="str">
        <f t="shared" si="0"/>
        <v>Wesley_Price</v>
      </c>
      <c r="C24" t="s">
        <v>29</v>
      </c>
    </row>
    <row r="25" spans="1:3" x14ac:dyDescent="0.3">
      <c r="A25" t="s">
        <v>157</v>
      </c>
      <c r="B25" s="3" t="str">
        <f t="shared" si="0"/>
        <v>Xavier_Coleman</v>
      </c>
      <c r="C25" t="s">
        <v>29</v>
      </c>
    </row>
    <row r="26" spans="1:3" x14ac:dyDescent="0.3">
      <c r="A26" t="s">
        <v>158</v>
      </c>
      <c r="B26" s="3" t="str">
        <f t="shared" si="0"/>
        <v>Yvonne_Barrett</v>
      </c>
      <c r="C26" t="s">
        <v>29</v>
      </c>
    </row>
    <row r="27" spans="1:3" x14ac:dyDescent="0.3">
      <c r="A27" t="s">
        <v>159</v>
      </c>
      <c r="B27" s="3" t="str">
        <f t="shared" si="0"/>
        <v>Zachary_Bennett</v>
      </c>
      <c r="C27" t="s">
        <v>29</v>
      </c>
    </row>
    <row r="28" spans="1:3" x14ac:dyDescent="0.3">
      <c r="A28" t="s">
        <v>160</v>
      </c>
      <c r="B28" s="3" t="str">
        <f t="shared" si="0"/>
        <v>Amelia_Patterson</v>
      </c>
      <c r="C28" t="s">
        <v>29</v>
      </c>
    </row>
    <row r="29" spans="1:3" x14ac:dyDescent="0.3">
      <c r="A29" t="s">
        <v>161</v>
      </c>
      <c r="B29" s="3" t="str">
        <f t="shared" si="0"/>
        <v>Brandon_Stone</v>
      </c>
      <c r="C29" t="s">
        <v>29</v>
      </c>
    </row>
    <row r="30" spans="1:3" x14ac:dyDescent="0.3">
      <c r="A30" t="s">
        <v>162</v>
      </c>
      <c r="B30" s="3" t="str">
        <f t="shared" si="0"/>
        <v>Chloe_Simmons</v>
      </c>
      <c r="C30" t="s">
        <v>29</v>
      </c>
    </row>
    <row r="31" spans="1:3" x14ac:dyDescent="0.3">
      <c r="A31" t="s">
        <v>163</v>
      </c>
      <c r="B31" s="3" t="str">
        <f t="shared" si="0"/>
        <v>Dominic_Roberts</v>
      </c>
      <c r="C31" t="s">
        <v>29</v>
      </c>
    </row>
    <row r="32" spans="1:3" x14ac:dyDescent="0.3">
      <c r="A32" t="s">
        <v>164</v>
      </c>
      <c r="B32" s="3" t="str">
        <f t="shared" si="0"/>
        <v>Elise_Butler</v>
      </c>
      <c r="C32" t="s">
        <v>29</v>
      </c>
    </row>
    <row r="33" spans="1:3" x14ac:dyDescent="0.3">
      <c r="A33" t="s">
        <v>165</v>
      </c>
      <c r="B33" s="3" t="str">
        <f t="shared" si="0"/>
        <v>Frank_Mitchell</v>
      </c>
      <c r="C33" t="s">
        <v>29</v>
      </c>
    </row>
    <row r="34" spans="1:3" x14ac:dyDescent="0.3">
      <c r="A34" t="s">
        <v>166</v>
      </c>
      <c r="B34" s="3" t="str">
        <f t="shared" si="0"/>
        <v>Grace_Torres</v>
      </c>
      <c r="C34" t="s">
        <v>29</v>
      </c>
    </row>
    <row r="35" spans="1:3" x14ac:dyDescent="0.3">
      <c r="A35" t="s">
        <v>167</v>
      </c>
      <c r="B35" s="3" t="str">
        <f t="shared" si="0"/>
        <v>Henry_Collins</v>
      </c>
      <c r="C35" t="s">
        <v>29</v>
      </c>
    </row>
    <row r="36" spans="1:3" x14ac:dyDescent="0.3">
      <c r="B36" s="3"/>
    </row>
    <row r="37" spans="1:3" x14ac:dyDescent="0.3">
      <c r="B37" s="3"/>
    </row>
    <row r="38" spans="1:3" x14ac:dyDescent="0.3">
      <c r="B38" s="3"/>
    </row>
    <row r="39" spans="1:3" x14ac:dyDescent="0.3">
      <c r="B39" s="3"/>
    </row>
    <row r="40" spans="1:3" x14ac:dyDescent="0.3">
      <c r="B40" s="3"/>
    </row>
    <row r="41" spans="1:3" x14ac:dyDescent="0.3">
      <c r="B41" s="3"/>
    </row>
    <row r="42" spans="1:3" x14ac:dyDescent="0.3">
      <c r="B42" s="3"/>
    </row>
    <row r="43" spans="1:3" x14ac:dyDescent="0.3">
      <c r="B43" s="3"/>
    </row>
    <row r="44" spans="1:3" x14ac:dyDescent="0.3">
      <c r="B44" s="3"/>
    </row>
    <row r="45" spans="1:3" x14ac:dyDescent="0.3">
      <c r="B45" s="3"/>
    </row>
    <row r="46" spans="1:3" x14ac:dyDescent="0.3">
      <c r="B46" s="3"/>
    </row>
    <row r="47" spans="1:3" x14ac:dyDescent="0.3">
      <c r="B47" s="3"/>
    </row>
    <row r="48" spans="1:3" x14ac:dyDescent="0.3">
      <c r="B48" s="3"/>
    </row>
    <row r="49" spans="2:2" x14ac:dyDescent="0.3">
      <c r="B49" s="3"/>
    </row>
    <row r="50" spans="2:2" x14ac:dyDescent="0.3">
      <c r="B50" s="3"/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8EC5F-3288-4E86-888D-6D3F894874C5}">
  <sheetPr codeName="Sheet12">
    <tabColor rgb="FF00B0F0"/>
  </sheetPr>
  <dimension ref="B3:O1748"/>
  <sheetViews>
    <sheetView showGridLines="0" zoomScale="85" zoomScaleNormal="85" workbookViewId="0">
      <selection activeCell="E61" sqref="E61"/>
    </sheetView>
  </sheetViews>
  <sheetFormatPr defaultRowHeight="14.4" x14ac:dyDescent="0.3"/>
  <cols>
    <col min="1" max="1" width="5.21875" style="6" customWidth="1"/>
    <col min="2" max="2" width="31.88671875" style="6" customWidth="1"/>
    <col min="3" max="3" width="17" style="6" customWidth="1"/>
    <col min="4" max="4" width="23" style="6" customWidth="1"/>
    <col min="5" max="5" width="19.109375" style="6" customWidth="1"/>
    <col min="6" max="6" width="27.44140625" style="6" customWidth="1"/>
    <col min="7" max="7" width="20.6640625" style="5" customWidth="1"/>
    <col min="8" max="8" width="16.44140625" style="6" customWidth="1"/>
    <col min="9" max="9" width="17.88671875" style="6" customWidth="1"/>
    <col min="10" max="10" width="12.33203125" style="5" customWidth="1"/>
    <col min="11" max="11" width="15.44140625" style="6" customWidth="1"/>
    <col min="12" max="16384" width="8.88671875" style="6"/>
  </cols>
  <sheetData>
    <row r="3" spans="2:9" s="5" customFormat="1" ht="21" x14ac:dyDescent="0.3">
      <c r="B3" s="55"/>
      <c r="C3" s="1"/>
      <c r="D3" s="1"/>
      <c r="E3" s="1"/>
      <c r="F3" s="1"/>
      <c r="H3" s="7"/>
      <c r="I3" s="6"/>
    </row>
    <row r="5" spans="2:9" s="5" customFormat="1" ht="15.6" x14ac:dyDescent="0.3">
      <c r="B5" s="8" t="s">
        <v>0</v>
      </c>
      <c r="C5" s="9" t="s">
        <v>32</v>
      </c>
      <c r="D5" s="10"/>
      <c r="E5" s="9" t="s">
        <v>33</v>
      </c>
      <c r="F5" s="10"/>
      <c r="H5" s="6"/>
      <c r="I5" s="6"/>
    </row>
    <row r="6" spans="2:9" s="5" customFormat="1" x14ac:dyDescent="0.3">
      <c r="B6" s="2"/>
      <c r="C6" s="11"/>
      <c r="D6" s="2"/>
      <c r="E6" s="11"/>
      <c r="F6" s="2"/>
      <c r="H6" s="6"/>
      <c r="I6" s="6"/>
    </row>
    <row r="8" spans="2:9" s="5" customFormat="1" ht="15" thickBot="1" x14ac:dyDescent="0.35">
      <c r="B8" s="6"/>
      <c r="C8" s="12"/>
      <c r="D8" s="6"/>
      <c r="E8" s="6"/>
      <c r="F8" s="43" t="s">
        <v>108</v>
      </c>
      <c r="G8" s="6"/>
      <c r="H8" s="48"/>
      <c r="I8" s="6"/>
    </row>
    <row r="9" spans="2:9" s="5" customFormat="1" ht="16.2" thickBot="1" x14ac:dyDescent="0.35">
      <c r="B9" s="13" t="s">
        <v>35</v>
      </c>
      <c r="C9" s="14" t="s">
        <v>2</v>
      </c>
      <c r="D9" s="14" t="s">
        <v>3</v>
      </c>
      <c r="E9" s="14" t="s">
        <v>4</v>
      </c>
      <c r="F9" s="69" t="s">
        <v>2</v>
      </c>
      <c r="G9" s="69" t="s">
        <v>3</v>
      </c>
      <c r="H9" s="69" t="s">
        <v>4</v>
      </c>
      <c r="I9" s="6"/>
    </row>
    <row r="10" spans="2:9" s="5" customFormat="1" x14ac:dyDescent="0.3">
      <c r="B10" s="15" t="s">
        <v>36</v>
      </c>
      <c r="C10" s="16"/>
      <c r="D10" s="16"/>
      <c r="E10" s="16"/>
      <c r="F10" s="26"/>
      <c r="G10" s="26"/>
      <c r="H10" s="26"/>
      <c r="I10" s="6"/>
    </row>
    <row r="11" spans="2:9" s="5" customFormat="1" x14ac:dyDescent="0.3">
      <c r="B11" s="18" t="s">
        <v>37</v>
      </c>
      <c r="C11" s="19"/>
      <c r="D11" s="19"/>
      <c r="E11" s="19"/>
      <c r="F11" s="19"/>
      <c r="G11" s="19"/>
      <c r="H11" s="19" t="e">
        <f>H12/H13</f>
        <v>#DIV/0!</v>
      </c>
      <c r="I11" s="6"/>
    </row>
    <row r="12" spans="2:9" s="5" customFormat="1" x14ac:dyDescent="0.3">
      <c r="B12" s="20" t="s">
        <v>34</v>
      </c>
      <c r="C12" s="21"/>
      <c r="D12" s="21"/>
      <c r="E12" s="21"/>
      <c r="F12" s="21"/>
      <c r="G12" s="21"/>
      <c r="H12" s="21">
        <f>SUM(F12:G12)</f>
        <v>0</v>
      </c>
      <c r="I12" s="6"/>
    </row>
    <row r="13" spans="2:9" s="5" customFormat="1" ht="15" thickBot="1" x14ac:dyDescent="0.35">
      <c r="B13" s="22" t="s">
        <v>5</v>
      </c>
      <c r="C13" s="23"/>
      <c r="D13" s="23"/>
      <c r="E13" s="23"/>
      <c r="F13" s="23"/>
      <c r="G13" s="23"/>
      <c r="H13" s="21">
        <f>SUM(F13:G13)</f>
        <v>0</v>
      </c>
      <c r="I13" s="6"/>
    </row>
    <row r="14" spans="2:9" s="5" customFormat="1" x14ac:dyDescent="0.3">
      <c r="B14" s="24" t="s">
        <v>38</v>
      </c>
      <c r="C14" s="25"/>
      <c r="D14" s="26"/>
      <c r="E14" s="26"/>
      <c r="F14" s="19"/>
      <c r="G14" s="26"/>
      <c r="H14" s="26"/>
      <c r="I14" s="6"/>
    </row>
    <row r="15" spans="2:9" s="5" customFormat="1" x14ac:dyDescent="0.3">
      <c r="B15" s="20" t="s">
        <v>112</v>
      </c>
      <c r="C15" s="21"/>
      <c r="D15" s="27"/>
      <c r="E15" s="27"/>
      <c r="F15" s="21"/>
      <c r="G15" s="27"/>
      <c r="H15" s="27"/>
      <c r="I15" s="6"/>
    </row>
    <row r="16" spans="2:9" s="5" customFormat="1" x14ac:dyDescent="0.3">
      <c r="B16" s="20" t="s">
        <v>113</v>
      </c>
      <c r="C16" s="21"/>
      <c r="D16" s="81"/>
      <c r="E16" s="81"/>
      <c r="F16" s="27"/>
      <c r="G16" s="27"/>
      <c r="H16" s="27"/>
      <c r="I16" s="6"/>
    </row>
    <row r="17" spans="2:15" s="5" customFormat="1" ht="15" thickBot="1" x14ac:dyDescent="0.35">
      <c r="B17" s="20" t="s">
        <v>39</v>
      </c>
      <c r="C17" s="21"/>
      <c r="D17" s="81"/>
      <c r="E17" s="81"/>
      <c r="F17" s="23"/>
      <c r="G17" s="27"/>
      <c r="H17" s="27"/>
      <c r="I17" s="6"/>
    </row>
    <row r="18" spans="2:15" s="5" customFormat="1" x14ac:dyDescent="0.3">
      <c r="B18" s="20" t="s">
        <v>40</v>
      </c>
      <c r="C18" s="28"/>
      <c r="D18" s="81"/>
      <c r="E18" s="81"/>
      <c r="F18" s="19"/>
      <c r="G18" s="27"/>
      <c r="H18" s="27"/>
      <c r="I18" s="6"/>
    </row>
    <row r="19" spans="2:15" s="5" customFormat="1" x14ac:dyDescent="0.3">
      <c r="B19" s="20" t="s">
        <v>114</v>
      </c>
      <c r="C19" s="21"/>
      <c r="D19" s="81"/>
      <c r="E19" s="81"/>
      <c r="F19" s="21"/>
      <c r="G19" s="27"/>
      <c r="H19" s="27"/>
      <c r="I19" s="6"/>
    </row>
    <row r="20" spans="2:15" s="5" customFormat="1" x14ac:dyDescent="0.3">
      <c r="B20" s="20" t="s">
        <v>115</v>
      </c>
      <c r="C20" s="21"/>
      <c r="D20" s="82"/>
      <c r="E20" s="81"/>
      <c r="F20" s="27"/>
      <c r="G20" s="83"/>
      <c r="H20" s="83"/>
      <c r="I20" s="6"/>
    </row>
    <row r="21" spans="2:15" s="5" customFormat="1" ht="15" thickBot="1" x14ac:dyDescent="0.35">
      <c r="B21" s="22" t="s">
        <v>41</v>
      </c>
      <c r="C21" s="23"/>
      <c r="D21" s="29"/>
      <c r="E21" s="29"/>
      <c r="F21" s="23"/>
      <c r="G21" s="29"/>
      <c r="H21" s="29"/>
      <c r="I21" s="6"/>
    </row>
    <row r="22" spans="2:15" s="5" customFormat="1" x14ac:dyDescent="0.3">
      <c r="B22"/>
      <c r="C22"/>
      <c r="D22"/>
      <c r="E22"/>
      <c r="F22"/>
      <c r="G22"/>
      <c r="H22"/>
      <c r="I22" s="6"/>
    </row>
    <row r="23" spans="2:15" s="5" customFormat="1" x14ac:dyDescent="0.3">
      <c r="B23"/>
      <c r="C23"/>
      <c r="D23"/>
      <c r="E23"/>
      <c r="F23"/>
      <c r="G23"/>
      <c r="H23"/>
      <c r="I23" s="6"/>
    </row>
    <row r="24" spans="2:15" s="5" customFormat="1" x14ac:dyDescent="0.3">
      <c r="B24"/>
      <c r="C24"/>
      <c r="D24"/>
      <c r="E24"/>
      <c r="F24"/>
      <c r="G24"/>
      <c r="H24"/>
      <c r="I24" s="6"/>
    </row>
    <row r="25" spans="2:15" s="5" customFormat="1" x14ac:dyDescent="0.3">
      <c r="B25"/>
      <c r="C25"/>
      <c r="D25"/>
      <c r="E25"/>
      <c r="F25"/>
      <c r="G25"/>
      <c r="H25"/>
      <c r="I25" s="6"/>
      <c r="K25" s="6"/>
      <c r="L25" s="6"/>
      <c r="M25" s="6"/>
      <c r="N25" s="6"/>
      <c r="O25" s="6"/>
    </row>
    <row r="26" spans="2:15" x14ac:dyDescent="0.3">
      <c r="G26" s="17"/>
    </row>
    <row r="27" spans="2:15" s="5" customFormat="1" x14ac:dyDescent="0.3">
      <c r="B27" s="6"/>
      <c r="C27" s="6"/>
      <c r="D27" s="6"/>
      <c r="E27" s="6"/>
      <c r="F27" s="6"/>
      <c r="G27" s="30"/>
      <c r="H27" s="6"/>
      <c r="I27" s="6"/>
      <c r="K27" s="6"/>
      <c r="L27" s="6"/>
      <c r="M27" s="6"/>
      <c r="N27" s="6"/>
      <c r="O27" s="6"/>
    </row>
    <row r="28" spans="2:15" s="5" customFormat="1" x14ac:dyDescent="0.3">
      <c r="B28" s="20" t="s">
        <v>50</v>
      </c>
      <c r="C28" s="53"/>
      <c r="D28" s="20" t="s">
        <v>51</v>
      </c>
      <c r="E28" s="54"/>
      <c r="F28" s="37"/>
      <c r="G28" s="30"/>
      <c r="H28" s="6"/>
      <c r="I28" s="6"/>
      <c r="K28" s="6"/>
      <c r="L28" s="6"/>
      <c r="M28" s="6"/>
      <c r="N28" s="6"/>
      <c r="O28" s="6"/>
    </row>
    <row r="29" spans="2:15" s="5" customFormat="1" x14ac:dyDescent="0.3">
      <c r="B29" s="6"/>
      <c r="C29" s="6"/>
      <c r="D29" s="6"/>
      <c r="E29" s="6"/>
      <c r="F29" s="6"/>
      <c r="G29" s="30"/>
      <c r="H29" s="6"/>
      <c r="I29" s="6"/>
      <c r="K29" s="6"/>
      <c r="L29" s="6"/>
      <c r="M29" s="6"/>
      <c r="N29" s="6"/>
      <c r="O29" s="6"/>
    </row>
    <row r="30" spans="2:15" s="5" customFormat="1" ht="18" x14ac:dyDescent="0.35">
      <c r="B30" s="31" t="s">
        <v>6</v>
      </c>
      <c r="C30" s="6"/>
      <c r="D30" s="6"/>
      <c r="E30" s="6"/>
      <c r="F30" s="6"/>
      <c r="G30" s="30"/>
      <c r="H30" s="6"/>
      <c r="I30" s="6"/>
      <c r="K30" s="6"/>
      <c r="L30" s="6"/>
      <c r="M30" s="6"/>
      <c r="N30" s="6"/>
      <c r="O30" s="6"/>
    </row>
    <row r="31" spans="2:15" s="5" customFormat="1" x14ac:dyDescent="0.3">
      <c r="B31" s="32" t="s">
        <v>7</v>
      </c>
      <c r="C31" s="33"/>
      <c r="D31" s="34" t="s">
        <v>8</v>
      </c>
      <c r="E31" s="35"/>
      <c r="F31" s="33"/>
      <c r="G31" s="30"/>
      <c r="H31" s="6"/>
      <c r="I31" s="6"/>
      <c r="K31" s="6"/>
      <c r="L31" s="6"/>
      <c r="M31" s="6"/>
      <c r="N31" s="6"/>
      <c r="O31" s="6"/>
    </row>
    <row r="32" spans="2:15" s="5" customFormat="1" x14ac:dyDescent="0.3">
      <c r="B32" s="36" t="s">
        <v>9</v>
      </c>
      <c r="C32" s="37"/>
      <c r="D32" s="38"/>
      <c r="E32" s="39"/>
      <c r="F32" s="37"/>
      <c r="G32" s="30"/>
      <c r="H32" s="6"/>
      <c r="I32" s="6"/>
      <c r="K32" s="6"/>
      <c r="L32" s="6"/>
      <c r="M32" s="6"/>
      <c r="N32" s="6"/>
      <c r="O32" s="6"/>
    </row>
    <row r="33" spans="2:15" s="5" customFormat="1" x14ac:dyDescent="0.3">
      <c r="B33" s="36" t="s">
        <v>10</v>
      </c>
      <c r="C33" s="37"/>
      <c r="D33" s="38"/>
      <c r="E33" s="39"/>
      <c r="F33" s="37"/>
      <c r="G33" s="30"/>
      <c r="H33" s="6"/>
      <c r="I33" s="6"/>
      <c r="K33" s="6"/>
      <c r="L33" s="6"/>
      <c r="M33" s="6"/>
      <c r="N33" s="6"/>
      <c r="O33" s="6"/>
    </row>
    <row r="34" spans="2:15" s="5" customFormat="1" x14ac:dyDescent="0.3">
      <c r="B34" s="36" t="s">
        <v>11</v>
      </c>
      <c r="C34" s="37"/>
      <c r="D34" s="38"/>
      <c r="E34" s="39"/>
      <c r="F34" s="37"/>
      <c r="G34" s="30"/>
      <c r="H34" s="6"/>
      <c r="I34" s="6"/>
      <c r="K34" s="6"/>
      <c r="L34" s="6"/>
      <c r="M34" s="6"/>
      <c r="N34" s="6"/>
      <c r="O34" s="6"/>
    </row>
    <row r="35" spans="2:15" s="5" customFormat="1" x14ac:dyDescent="0.3">
      <c r="B35" s="36" t="s">
        <v>12</v>
      </c>
      <c r="C35" s="37"/>
      <c r="D35" s="38"/>
      <c r="E35" s="39"/>
      <c r="F35" s="37"/>
      <c r="G35" s="30"/>
      <c r="H35" s="6"/>
      <c r="I35" s="6"/>
      <c r="K35" s="6"/>
      <c r="L35" s="6"/>
      <c r="M35" s="6"/>
      <c r="N35" s="6"/>
      <c r="O35" s="6"/>
    </row>
    <row r="36" spans="2:15" s="5" customFormat="1" x14ac:dyDescent="0.3">
      <c r="B36" s="36" t="s">
        <v>13</v>
      </c>
      <c r="C36" s="37"/>
      <c r="D36" s="38"/>
      <c r="E36" s="39"/>
      <c r="F36" s="37"/>
      <c r="G36" s="30"/>
      <c r="H36" s="6"/>
      <c r="I36" s="6"/>
      <c r="K36" s="6"/>
      <c r="L36" s="6"/>
      <c r="M36" s="6"/>
      <c r="N36" s="6"/>
      <c r="O36" s="6"/>
    </row>
    <row r="37" spans="2:15" x14ac:dyDescent="0.3">
      <c r="B37" s="36" t="s">
        <v>14</v>
      </c>
      <c r="C37" s="37"/>
      <c r="D37" s="38"/>
      <c r="E37" s="39"/>
      <c r="F37" s="37"/>
      <c r="G37" s="30"/>
    </row>
    <row r="38" spans="2:15" x14ac:dyDescent="0.3">
      <c r="B38" s="36" t="s">
        <v>15</v>
      </c>
      <c r="C38" s="37"/>
      <c r="D38" s="38"/>
      <c r="E38" s="39"/>
      <c r="F38" s="37"/>
      <c r="G38" s="30"/>
    </row>
    <row r="39" spans="2:15" ht="54" customHeight="1" x14ac:dyDescent="0.3">
      <c r="B39" s="36" t="s">
        <v>16</v>
      </c>
      <c r="C39" s="37"/>
      <c r="D39" s="84"/>
      <c r="E39" s="85"/>
      <c r="F39" s="86"/>
      <c r="G39" s="30"/>
    </row>
    <row r="40" spans="2:15" x14ac:dyDescent="0.3">
      <c r="B40" s="36" t="s">
        <v>17</v>
      </c>
      <c r="C40" s="37"/>
      <c r="D40" s="38"/>
      <c r="E40" s="39"/>
      <c r="F40" s="37"/>
      <c r="G40" s="30"/>
    </row>
    <row r="41" spans="2:15" x14ac:dyDescent="0.3">
      <c r="G41" s="30"/>
    </row>
    <row r="42" spans="2:15" x14ac:dyDescent="0.3">
      <c r="G42" s="30"/>
    </row>
    <row r="43" spans="2:15" x14ac:dyDescent="0.3">
      <c r="B43" s="40" t="s">
        <v>18</v>
      </c>
      <c r="C43" s="41" t="s">
        <v>31</v>
      </c>
      <c r="D43" s="41" t="s">
        <v>42</v>
      </c>
      <c r="E43" s="41" t="s">
        <v>3</v>
      </c>
      <c r="F43" s="41" t="s">
        <v>4</v>
      </c>
      <c r="G43" s="30"/>
    </row>
    <row r="44" spans="2:15" x14ac:dyDescent="0.3">
      <c r="B44" s="20"/>
      <c r="C44" s="42"/>
      <c r="D44" s="42"/>
      <c r="E44" s="42"/>
      <c r="F44" s="42">
        <f>SUM(C44:E44)</f>
        <v>0</v>
      </c>
      <c r="G44" s="17"/>
    </row>
    <row r="45" spans="2:15" x14ac:dyDescent="0.3">
      <c r="B45" s="20"/>
      <c r="C45" s="42"/>
      <c r="D45" s="42"/>
      <c r="E45" s="42"/>
      <c r="F45" s="42">
        <f>SUM(C45:E45)</f>
        <v>0</v>
      </c>
    </row>
    <row r="46" spans="2:15" x14ac:dyDescent="0.3">
      <c r="B46" s="20"/>
      <c r="C46" s="42"/>
      <c r="D46" s="42"/>
      <c r="E46" s="42"/>
      <c r="F46" s="42">
        <f>SUM(C46:E46)</f>
        <v>0</v>
      </c>
    </row>
    <row r="49" spans="2:15" x14ac:dyDescent="0.3">
      <c r="B49" s="43" t="s">
        <v>43</v>
      </c>
      <c r="I49" s="68" t="str">
        <f>"M1 Total : " &amp; TEXT(SUM(I50:J50),"0,000")</f>
        <v>M1 Total : 0,000</v>
      </c>
      <c r="J49" s="68"/>
      <c r="K49" s="68"/>
      <c r="L49" s="68"/>
    </row>
    <row r="50" spans="2:15" x14ac:dyDescent="0.3">
      <c r="H50" s="48"/>
      <c r="I50" s="68">
        <f>SUBTOTAL(9,I52:I5002)</f>
        <v>0</v>
      </c>
      <c r="J50" s="68">
        <f>SUBTOTAL(9,J52:J5002)</f>
        <v>0</v>
      </c>
      <c r="K50" s="68">
        <f>SUBTOTAL(9,K52:K5002)</f>
        <v>0</v>
      </c>
      <c r="L50" s="68">
        <f>SUBTOTAL(9,L52:L5002)</f>
        <v>0</v>
      </c>
    </row>
    <row r="51" spans="2:15" ht="28.8" x14ac:dyDescent="0.3">
      <c r="B51" s="44" t="s">
        <v>44</v>
      </c>
      <c r="C51" s="44" t="s">
        <v>19</v>
      </c>
      <c r="D51" s="44" t="s">
        <v>20</v>
      </c>
      <c r="E51" s="45" t="s">
        <v>21</v>
      </c>
      <c r="F51" s="44" t="s">
        <v>22</v>
      </c>
      <c r="G51" s="46" t="s">
        <v>23</v>
      </c>
      <c r="H51" s="45" t="s">
        <v>98</v>
      </c>
      <c r="I51" s="67" t="s">
        <v>24</v>
      </c>
      <c r="J51" s="67" t="s">
        <v>25</v>
      </c>
      <c r="K51" s="67" t="s">
        <v>26</v>
      </c>
      <c r="L51" s="67" t="s">
        <v>27</v>
      </c>
      <c r="M51" s="30"/>
      <c r="N51" s="30"/>
      <c r="O51" s="30"/>
    </row>
    <row r="52" spans="2:15" x14ac:dyDescent="0.3">
      <c r="B52" s="47"/>
      <c r="E52" s="48"/>
      <c r="F52" s="48"/>
      <c r="H52" s="48"/>
      <c r="I52" s="70"/>
      <c r="J52" s="71"/>
      <c r="K52" s="71"/>
      <c r="L52" s="71"/>
      <c r="M52" s="5"/>
      <c r="N52" s="5"/>
    </row>
    <row r="53" spans="2:15" x14ac:dyDescent="0.3">
      <c r="E53" s="48"/>
      <c r="F53" s="48"/>
      <c r="H53" s="48"/>
      <c r="I53" s="70"/>
      <c r="J53" s="71"/>
      <c r="K53" s="71"/>
      <c r="L53" s="71"/>
      <c r="M53" s="5"/>
      <c r="N53" s="5"/>
    </row>
    <row r="54" spans="2:15" x14ac:dyDescent="0.3">
      <c r="E54" s="48"/>
      <c r="F54" s="48"/>
      <c r="H54" s="48"/>
      <c r="I54" s="70"/>
      <c r="J54" s="71"/>
      <c r="K54" s="71"/>
      <c r="L54" s="71"/>
      <c r="M54" s="5"/>
      <c r="N54" s="5"/>
    </row>
    <row r="55" spans="2:15" x14ac:dyDescent="0.3">
      <c r="E55" s="48"/>
      <c r="F55" s="48"/>
      <c r="H55" s="48"/>
      <c r="I55" s="70"/>
      <c r="J55" s="71"/>
      <c r="K55" s="71"/>
      <c r="L55" s="71"/>
      <c r="M55" s="5"/>
      <c r="N55" s="5"/>
    </row>
    <row r="56" spans="2:15" x14ac:dyDescent="0.3">
      <c r="E56" s="48"/>
      <c r="F56" s="48"/>
      <c r="H56" s="48"/>
      <c r="I56" s="70"/>
      <c r="J56" s="71"/>
      <c r="K56" s="71"/>
      <c r="L56" s="71"/>
      <c r="M56" s="5"/>
      <c r="N56" s="5"/>
    </row>
    <row r="57" spans="2:15" x14ac:dyDescent="0.3">
      <c r="E57" s="48"/>
      <c r="F57" s="48"/>
      <c r="H57" s="48"/>
      <c r="I57" s="71"/>
      <c r="J57" s="71"/>
      <c r="K57" s="71"/>
      <c r="L57" s="71"/>
      <c r="M57" s="5"/>
      <c r="N57" s="5"/>
    </row>
    <row r="58" spans="2:15" x14ac:dyDescent="0.3">
      <c r="E58" s="48"/>
      <c r="F58" s="48"/>
      <c r="H58" s="48"/>
      <c r="I58" s="71"/>
      <c r="J58" s="71"/>
      <c r="K58" s="71"/>
      <c r="L58" s="71"/>
      <c r="M58" s="5"/>
      <c r="N58" s="5"/>
    </row>
    <row r="59" spans="2:15" x14ac:dyDescent="0.3">
      <c r="E59" s="48"/>
      <c r="F59" s="48"/>
      <c r="H59" s="48"/>
      <c r="I59" s="71"/>
      <c r="J59" s="71"/>
      <c r="K59" s="71"/>
      <c r="L59" s="71"/>
      <c r="M59" s="5"/>
      <c r="N59" s="5"/>
    </row>
    <row r="60" spans="2:15" x14ac:dyDescent="0.3">
      <c r="E60" s="48"/>
      <c r="F60" s="48"/>
      <c r="H60" s="48"/>
      <c r="I60" s="71"/>
      <c r="J60" s="71"/>
      <c r="K60" s="71"/>
      <c r="L60" s="71"/>
      <c r="M60" s="5"/>
      <c r="N60" s="5"/>
    </row>
    <row r="61" spans="2:15" x14ac:dyDescent="0.3">
      <c r="E61" s="48"/>
      <c r="F61" s="48"/>
      <c r="H61" s="48"/>
      <c r="I61" s="70"/>
      <c r="J61" s="71"/>
      <c r="K61" s="71"/>
      <c r="L61" s="71"/>
      <c r="M61" s="5"/>
      <c r="N61" s="5"/>
    </row>
    <row r="62" spans="2:15" x14ac:dyDescent="0.3">
      <c r="E62" s="48"/>
      <c r="F62" s="48"/>
      <c r="H62" s="48"/>
      <c r="I62" s="70"/>
      <c r="J62" s="71"/>
      <c r="K62" s="71"/>
      <c r="L62" s="71"/>
      <c r="M62" s="5"/>
      <c r="N62" s="5"/>
    </row>
    <row r="63" spans="2:15" x14ac:dyDescent="0.3">
      <c r="E63" s="48"/>
      <c r="F63" s="48"/>
      <c r="H63" s="48"/>
      <c r="I63" s="70"/>
      <c r="J63" s="71"/>
      <c r="K63" s="71"/>
      <c r="L63" s="71"/>
      <c r="M63" s="5"/>
      <c r="N63" s="5"/>
    </row>
    <row r="64" spans="2:15" x14ac:dyDescent="0.3">
      <c r="E64" s="48"/>
      <c r="F64" s="48"/>
      <c r="H64" s="48"/>
      <c r="I64" s="70"/>
      <c r="J64" s="71"/>
      <c r="K64" s="71"/>
      <c r="L64" s="71"/>
      <c r="M64" s="5"/>
      <c r="N64" s="5"/>
    </row>
    <row r="65" spans="5:14" x14ac:dyDescent="0.3">
      <c r="E65" s="48"/>
      <c r="F65" s="48"/>
      <c r="H65" s="48"/>
      <c r="I65" s="70"/>
      <c r="J65" s="71"/>
      <c r="K65" s="71"/>
      <c r="L65" s="71"/>
      <c r="M65" s="5"/>
      <c r="N65" s="5"/>
    </row>
    <row r="66" spans="5:14" x14ac:dyDescent="0.3">
      <c r="E66" s="48"/>
      <c r="F66" s="48"/>
      <c r="H66" s="48"/>
      <c r="I66" s="70"/>
      <c r="J66" s="71"/>
      <c r="K66" s="71"/>
      <c r="L66" s="71"/>
      <c r="M66" s="5"/>
      <c r="N66" s="5"/>
    </row>
    <row r="67" spans="5:14" x14ac:dyDescent="0.3">
      <c r="E67" s="48"/>
      <c r="F67" s="48"/>
      <c r="H67" s="48"/>
      <c r="I67" s="70"/>
      <c r="J67" s="71"/>
      <c r="K67" s="71"/>
      <c r="L67" s="71"/>
      <c r="M67" s="5"/>
      <c r="N67" s="5"/>
    </row>
    <row r="68" spans="5:14" x14ac:dyDescent="0.3">
      <c r="E68" s="48"/>
      <c r="F68" s="48"/>
      <c r="H68" s="48"/>
      <c r="I68" s="70"/>
      <c r="J68" s="71"/>
      <c r="K68" s="71"/>
      <c r="L68" s="71"/>
      <c r="M68" s="5"/>
      <c r="N68" s="5"/>
    </row>
    <row r="69" spans="5:14" x14ac:dyDescent="0.3">
      <c r="E69" s="48"/>
      <c r="F69" s="48"/>
      <c r="H69" s="48"/>
      <c r="I69" s="70"/>
      <c r="J69" s="71"/>
      <c r="K69" s="71"/>
      <c r="L69" s="71"/>
      <c r="M69" s="5"/>
      <c r="N69" s="5"/>
    </row>
    <row r="70" spans="5:14" x14ac:dyDescent="0.3">
      <c r="E70" s="48"/>
      <c r="F70" s="48"/>
      <c r="H70" s="48"/>
      <c r="I70" s="70"/>
      <c r="J70" s="71"/>
      <c r="K70" s="71"/>
      <c r="L70" s="71"/>
      <c r="M70" s="5"/>
      <c r="N70" s="5"/>
    </row>
    <row r="71" spans="5:14" x14ac:dyDescent="0.3">
      <c r="E71" s="48"/>
      <c r="F71" s="48"/>
      <c r="H71" s="48"/>
      <c r="I71" s="70"/>
      <c r="J71" s="71"/>
      <c r="K71" s="71"/>
      <c r="L71" s="71"/>
      <c r="M71" s="5"/>
      <c r="N71" s="5"/>
    </row>
    <row r="72" spans="5:14" x14ac:dyDescent="0.3">
      <c r="E72" s="48"/>
      <c r="F72" s="48"/>
      <c r="H72" s="48"/>
      <c r="I72" s="70"/>
      <c r="J72" s="71"/>
      <c r="K72" s="71"/>
      <c r="L72" s="71"/>
      <c r="M72" s="5"/>
      <c r="N72" s="5"/>
    </row>
    <row r="73" spans="5:14" x14ac:dyDescent="0.3">
      <c r="E73" s="48"/>
      <c r="F73" s="48"/>
      <c r="H73" s="48"/>
      <c r="I73" s="70"/>
      <c r="J73" s="71"/>
      <c r="K73" s="71"/>
      <c r="L73" s="71"/>
      <c r="M73" s="5"/>
      <c r="N73" s="5"/>
    </row>
    <row r="74" spans="5:14" x14ac:dyDescent="0.3">
      <c r="E74" s="48"/>
      <c r="F74" s="48"/>
      <c r="H74" s="48"/>
      <c r="I74" s="70"/>
      <c r="J74" s="71"/>
      <c r="K74" s="71"/>
      <c r="L74" s="71"/>
      <c r="M74" s="5"/>
      <c r="N74" s="5"/>
    </row>
    <row r="75" spans="5:14" x14ac:dyDescent="0.3">
      <c r="E75" s="48"/>
      <c r="F75" s="48"/>
      <c r="H75" s="48"/>
      <c r="I75" s="70"/>
      <c r="J75" s="71"/>
      <c r="K75" s="71"/>
      <c r="L75" s="71"/>
      <c r="M75" s="5"/>
      <c r="N75" s="5"/>
    </row>
    <row r="76" spans="5:14" x14ac:dyDescent="0.3">
      <c r="E76" s="48"/>
      <c r="F76" s="48"/>
      <c r="H76" s="48"/>
      <c r="I76" s="70"/>
      <c r="J76" s="71"/>
      <c r="K76" s="71"/>
      <c r="L76" s="71"/>
      <c r="M76" s="5"/>
      <c r="N76" s="5"/>
    </row>
    <row r="77" spans="5:14" x14ac:dyDescent="0.3">
      <c r="E77" s="48"/>
      <c r="F77" s="48"/>
      <c r="H77" s="48"/>
      <c r="I77" s="70"/>
      <c r="J77" s="71"/>
      <c r="K77" s="71"/>
      <c r="L77" s="71"/>
      <c r="M77" s="5"/>
      <c r="N77" s="5"/>
    </row>
    <row r="78" spans="5:14" x14ac:dyDescent="0.3">
      <c r="E78" s="48"/>
      <c r="F78" s="48"/>
      <c r="H78" s="48"/>
      <c r="I78" s="70"/>
      <c r="J78" s="71"/>
      <c r="K78" s="71"/>
      <c r="L78" s="71"/>
      <c r="M78" s="5"/>
      <c r="N78" s="5"/>
    </row>
    <row r="79" spans="5:14" x14ac:dyDescent="0.3">
      <c r="E79" s="48"/>
      <c r="F79" s="48"/>
      <c r="H79" s="48"/>
      <c r="I79" s="70"/>
      <c r="J79" s="71"/>
      <c r="K79" s="71"/>
      <c r="L79" s="71"/>
      <c r="M79" s="5"/>
      <c r="N79" s="5"/>
    </row>
    <row r="80" spans="5:14" x14ac:dyDescent="0.3">
      <c r="E80" s="48"/>
      <c r="F80" s="48"/>
      <c r="H80" s="48"/>
      <c r="I80" s="70"/>
      <c r="J80" s="71"/>
      <c r="K80" s="71"/>
      <c r="L80" s="71"/>
      <c r="M80" s="5"/>
      <c r="N80" s="5"/>
    </row>
    <row r="81" spans="5:14" x14ac:dyDescent="0.3">
      <c r="E81" s="48"/>
      <c r="F81" s="48"/>
      <c r="H81" s="48"/>
      <c r="I81" s="70"/>
      <c r="J81" s="71"/>
      <c r="K81" s="71"/>
      <c r="L81" s="71"/>
      <c r="M81" s="5"/>
      <c r="N81" s="5"/>
    </row>
    <row r="82" spans="5:14" x14ac:dyDescent="0.3">
      <c r="E82" s="48"/>
      <c r="F82" s="48"/>
      <c r="H82" s="48"/>
      <c r="I82" s="70"/>
      <c r="J82" s="71"/>
      <c r="K82" s="71"/>
      <c r="L82" s="71"/>
      <c r="M82" s="5"/>
      <c r="N82" s="5"/>
    </row>
    <row r="83" spans="5:14" x14ac:dyDescent="0.3">
      <c r="E83" s="48"/>
      <c r="F83" s="48"/>
      <c r="H83" s="48"/>
      <c r="I83" s="70"/>
      <c r="J83" s="71"/>
      <c r="K83" s="71"/>
      <c r="L83" s="71"/>
      <c r="M83" s="5"/>
      <c r="N83" s="5"/>
    </row>
    <row r="84" spans="5:14" x14ac:dyDescent="0.3">
      <c r="E84" s="48"/>
      <c r="F84" s="48"/>
      <c r="H84" s="48"/>
      <c r="I84" s="70"/>
      <c r="J84" s="71"/>
      <c r="K84" s="71"/>
      <c r="L84" s="71"/>
      <c r="M84" s="5"/>
      <c r="N84" s="5"/>
    </row>
    <row r="85" spans="5:14" x14ac:dyDescent="0.3">
      <c r="E85" s="48"/>
      <c r="F85" s="48"/>
      <c r="H85" s="48"/>
      <c r="I85" s="70"/>
      <c r="J85" s="71"/>
      <c r="K85" s="71"/>
      <c r="L85" s="71"/>
      <c r="M85" s="5"/>
      <c r="N85" s="5"/>
    </row>
    <row r="86" spans="5:14" x14ac:dyDescent="0.3">
      <c r="E86" s="48"/>
      <c r="F86" s="48"/>
      <c r="H86" s="48"/>
      <c r="I86" s="70"/>
      <c r="J86" s="71"/>
      <c r="K86" s="71"/>
      <c r="L86" s="71"/>
      <c r="M86" s="5"/>
      <c r="N86" s="5"/>
    </row>
    <row r="87" spans="5:14" x14ac:dyDescent="0.3">
      <c r="E87" s="48"/>
      <c r="F87" s="48"/>
      <c r="H87" s="48"/>
      <c r="I87" s="70"/>
      <c r="J87" s="71"/>
      <c r="K87" s="71"/>
      <c r="L87" s="71"/>
      <c r="M87" s="5"/>
      <c r="N87" s="5"/>
    </row>
    <row r="88" spans="5:14" x14ac:dyDescent="0.3">
      <c r="E88" s="48"/>
      <c r="F88" s="48"/>
      <c r="H88" s="48"/>
      <c r="I88" s="70"/>
      <c r="J88" s="71"/>
      <c r="K88" s="71"/>
      <c r="L88" s="71"/>
      <c r="M88" s="5"/>
      <c r="N88" s="5"/>
    </row>
    <row r="89" spans="5:14" x14ac:dyDescent="0.3">
      <c r="E89" s="48"/>
      <c r="F89" s="48"/>
      <c r="H89" s="48"/>
      <c r="I89" s="70"/>
      <c r="J89" s="71"/>
      <c r="K89" s="71"/>
      <c r="L89" s="71"/>
      <c r="M89" s="5"/>
      <c r="N89" s="5"/>
    </row>
    <row r="90" spans="5:14" x14ac:dyDescent="0.3">
      <c r="E90" s="48"/>
      <c r="F90" s="48"/>
      <c r="H90" s="48"/>
      <c r="I90" s="70"/>
      <c r="J90" s="71"/>
      <c r="K90" s="71"/>
      <c r="L90" s="71"/>
      <c r="M90" s="5"/>
      <c r="N90" s="5"/>
    </row>
    <row r="91" spans="5:14" x14ac:dyDescent="0.3">
      <c r="E91" s="48"/>
      <c r="F91" s="48"/>
      <c r="H91" s="48"/>
      <c r="I91" s="70"/>
      <c r="J91" s="71"/>
      <c r="K91" s="71"/>
      <c r="L91" s="71"/>
      <c r="M91" s="5"/>
      <c r="N91" s="5"/>
    </row>
    <row r="92" spans="5:14" x14ac:dyDescent="0.3">
      <c r="E92" s="48"/>
      <c r="F92" s="48"/>
      <c r="H92" s="48"/>
      <c r="I92" s="70"/>
      <c r="J92" s="71"/>
      <c r="K92" s="71"/>
      <c r="L92" s="71"/>
      <c r="M92" s="5"/>
      <c r="N92" s="5"/>
    </row>
    <row r="93" spans="5:14" x14ac:dyDescent="0.3">
      <c r="E93" s="48"/>
      <c r="F93" s="48"/>
      <c r="H93" s="48"/>
      <c r="I93" s="70"/>
      <c r="J93" s="71"/>
      <c r="K93" s="71"/>
      <c r="L93" s="71"/>
      <c r="M93" s="5"/>
      <c r="N93" s="5"/>
    </row>
    <row r="94" spans="5:14" x14ac:dyDescent="0.3">
      <c r="E94" s="48"/>
      <c r="F94" s="48"/>
      <c r="H94" s="48"/>
      <c r="I94" s="70"/>
      <c r="J94" s="71"/>
      <c r="K94" s="71"/>
      <c r="L94" s="71"/>
      <c r="M94" s="5"/>
      <c r="N94" s="5"/>
    </row>
    <row r="95" spans="5:14" x14ac:dyDescent="0.3">
      <c r="E95" s="48"/>
      <c r="F95" s="48"/>
      <c r="H95" s="48"/>
      <c r="I95" s="70"/>
      <c r="J95" s="71"/>
      <c r="K95" s="71"/>
      <c r="L95" s="71"/>
      <c r="M95" s="5"/>
      <c r="N95" s="5"/>
    </row>
    <row r="96" spans="5:14" x14ac:dyDescent="0.3">
      <c r="E96" s="48"/>
      <c r="F96" s="48"/>
      <c r="H96" s="48"/>
      <c r="I96" s="70"/>
      <c r="J96" s="71"/>
      <c r="K96" s="71"/>
      <c r="L96" s="71"/>
      <c r="M96" s="5"/>
      <c r="N96" s="5"/>
    </row>
    <row r="97" spans="5:14" x14ac:dyDescent="0.3">
      <c r="E97" s="48"/>
      <c r="F97" s="48"/>
      <c r="H97" s="48"/>
      <c r="I97" s="70"/>
      <c r="J97" s="71"/>
      <c r="K97" s="71"/>
      <c r="L97" s="71"/>
      <c r="M97" s="5"/>
      <c r="N97" s="5"/>
    </row>
    <row r="98" spans="5:14" x14ac:dyDescent="0.3">
      <c r="E98" s="48"/>
      <c r="F98" s="48"/>
      <c r="H98" s="48"/>
      <c r="I98" s="70"/>
      <c r="J98" s="71"/>
      <c r="K98" s="71"/>
      <c r="L98" s="71"/>
      <c r="M98" s="5"/>
      <c r="N98" s="5"/>
    </row>
    <row r="99" spans="5:14" x14ac:dyDescent="0.3">
      <c r="E99" s="48"/>
      <c r="F99" s="48"/>
      <c r="H99" s="48"/>
      <c r="I99" s="70"/>
      <c r="J99" s="71"/>
      <c r="K99" s="71"/>
      <c r="L99" s="71"/>
      <c r="M99" s="5"/>
      <c r="N99" s="5"/>
    </row>
    <row r="100" spans="5:14" x14ac:dyDescent="0.3">
      <c r="E100" s="48"/>
      <c r="F100" s="48"/>
      <c r="H100" s="48"/>
      <c r="I100" s="70"/>
      <c r="J100" s="71"/>
      <c r="K100" s="71"/>
      <c r="L100" s="71"/>
      <c r="M100" s="5"/>
      <c r="N100" s="5"/>
    </row>
    <row r="101" spans="5:14" x14ac:dyDescent="0.3">
      <c r="E101" s="48"/>
      <c r="F101" s="48"/>
      <c r="H101" s="48"/>
      <c r="I101" s="70"/>
      <c r="J101" s="71"/>
      <c r="K101" s="71"/>
      <c r="L101" s="71"/>
      <c r="M101" s="5"/>
      <c r="N101" s="5"/>
    </row>
    <row r="102" spans="5:14" x14ac:dyDescent="0.3">
      <c r="E102" s="48"/>
      <c r="F102" s="48"/>
      <c r="H102" s="48"/>
      <c r="I102" s="70"/>
      <c r="J102" s="71"/>
      <c r="K102" s="71"/>
      <c r="L102" s="71"/>
      <c r="M102" s="5"/>
      <c r="N102" s="5"/>
    </row>
    <row r="103" spans="5:14" x14ac:dyDescent="0.3">
      <c r="E103" s="48"/>
      <c r="F103" s="48"/>
      <c r="H103" s="48"/>
      <c r="I103" s="70"/>
      <c r="J103" s="71"/>
      <c r="K103" s="71"/>
      <c r="L103" s="71"/>
      <c r="M103" s="5"/>
      <c r="N103" s="5"/>
    </row>
    <row r="104" spans="5:14" x14ac:dyDescent="0.3">
      <c r="E104" s="48"/>
      <c r="F104" s="48"/>
      <c r="H104" s="48"/>
      <c r="I104" s="70"/>
      <c r="J104" s="71"/>
      <c r="K104" s="71"/>
      <c r="L104" s="71"/>
      <c r="M104" s="5"/>
      <c r="N104" s="5"/>
    </row>
    <row r="105" spans="5:14" x14ac:dyDescent="0.3">
      <c r="E105" s="48"/>
      <c r="F105" s="48"/>
      <c r="H105" s="48"/>
      <c r="I105" s="70"/>
      <c r="J105" s="71"/>
      <c r="K105" s="71"/>
      <c r="L105" s="71"/>
      <c r="M105" s="5"/>
      <c r="N105" s="5"/>
    </row>
    <row r="106" spans="5:14" x14ac:dyDescent="0.3">
      <c r="E106" s="48"/>
      <c r="F106" s="48"/>
      <c r="H106" s="48"/>
      <c r="I106" s="70"/>
      <c r="J106" s="71"/>
      <c r="K106" s="71"/>
      <c r="L106" s="71"/>
      <c r="M106" s="5"/>
      <c r="N106" s="5"/>
    </row>
    <row r="107" spans="5:14" x14ac:dyDescent="0.3">
      <c r="E107" s="48"/>
      <c r="F107" s="48"/>
      <c r="H107" s="48"/>
      <c r="I107" s="70"/>
      <c r="J107" s="71"/>
      <c r="K107" s="71"/>
      <c r="L107" s="71"/>
      <c r="M107" s="5"/>
      <c r="N107" s="5"/>
    </row>
    <row r="108" spans="5:14" x14ac:dyDescent="0.3">
      <c r="E108" s="48"/>
      <c r="F108" s="48"/>
      <c r="H108" s="48"/>
      <c r="I108" s="70"/>
      <c r="J108" s="71"/>
      <c r="K108" s="71"/>
      <c r="L108" s="71"/>
      <c r="M108" s="5"/>
      <c r="N108" s="5"/>
    </row>
    <row r="109" spans="5:14" x14ac:dyDescent="0.3">
      <c r="E109" s="48"/>
      <c r="F109" s="48"/>
      <c r="H109" s="48"/>
      <c r="I109" s="70"/>
      <c r="J109" s="71"/>
      <c r="K109" s="71"/>
      <c r="L109" s="71"/>
      <c r="M109" s="5"/>
      <c r="N109" s="5"/>
    </row>
    <row r="110" spans="5:14" x14ac:dyDescent="0.3">
      <c r="E110" s="48"/>
      <c r="F110" s="48"/>
      <c r="H110" s="48"/>
      <c r="I110" s="70"/>
      <c r="J110" s="71"/>
      <c r="K110" s="71"/>
      <c r="L110" s="71"/>
      <c r="M110" s="5"/>
      <c r="N110" s="5"/>
    </row>
    <row r="111" spans="5:14" x14ac:dyDescent="0.3">
      <c r="E111" s="48"/>
      <c r="F111" s="48"/>
      <c r="H111" s="48"/>
      <c r="I111" s="70"/>
      <c r="J111" s="71"/>
      <c r="K111" s="71"/>
      <c r="L111" s="71"/>
      <c r="M111" s="5"/>
      <c r="N111" s="5"/>
    </row>
    <row r="112" spans="5:14" x14ac:dyDescent="0.3">
      <c r="E112" s="48"/>
      <c r="F112" s="48"/>
      <c r="H112" s="48"/>
      <c r="I112" s="70"/>
      <c r="J112" s="71"/>
      <c r="K112" s="71"/>
      <c r="L112" s="71"/>
      <c r="M112" s="5"/>
      <c r="N112" s="5"/>
    </row>
    <row r="113" spans="5:14" x14ac:dyDescent="0.3">
      <c r="E113" s="48"/>
      <c r="F113" s="48"/>
      <c r="H113" s="48"/>
      <c r="I113" s="70"/>
      <c r="J113" s="71"/>
      <c r="K113" s="71"/>
      <c r="L113" s="71"/>
      <c r="M113" s="5"/>
      <c r="N113" s="5"/>
    </row>
    <row r="114" spans="5:14" x14ac:dyDescent="0.3">
      <c r="E114" s="48"/>
      <c r="F114" s="48"/>
      <c r="H114" s="48"/>
      <c r="I114" s="70"/>
      <c r="J114" s="71"/>
      <c r="K114" s="71"/>
      <c r="L114" s="71"/>
      <c r="M114" s="5"/>
      <c r="N114" s="5"/>
    </row>
    <row r="115" spans="5:14" x14ac:dyDescent="0.3">
      <c r="E115" s="48"/>
      <c r="F115" s="48"/>
      <c r="H115" s="48"/>
      <c r="I115" s="70"/>
      <c r="J115" s="71"/>
      <c r="K115" s="71"/>
      <c r="L115" s="71"/>
      <c r="M115" s="5"/>
      <c r="N115" s="5"/>
    </row>
    <row r="116" spans="5:14" x14ac:dyDescent="0.3">
      <c r="E116" s="48"/>
      <c r="F116" s="48"/>
      <c r="H116" s="48"/>
      <c r="I116" s="70"/>
      <c r="J116" s="71"/>
      <c r="K116" s="71"/>
      <c r="L116" s="71"/>
      <c r="M116" s="5"/>
      <c r="N116" s="5"/>
    </row>
    <row r="117" spans="5:14" x14ac:dyDescent="0.3">
      <c r="E117" s="48"/>
      <c r="F117" s="48"/>
      <c r="H117" s="48"/>
      <c r="I117" s="70"/>
      <c r="J117" s="71"/>
      <c r="K117" s="71"/>
      <c r="L117" s="71"/>
      <c r="M117" s="5"/>
      <c r="N117" s="5"/>
    </row>
    <row r="118" spans="5:14" x14ac:dyDescent="0.3">
      <c r="E118" s="48"/>
      <c r="F118" s="48"/>
      <c r="H118" s="48"/>
      <c r="I118" s="70"/>
      <c r="J118" s="71"/>
      <c r="K118" s="71"/>
      <c r="L118" s="71"/>
      <c r="M118" s="5"/>
      <c r="N118" s="5"/>
    </row>
    <row r="119" spans="5:14" x14ac:dyDescent="0.3">
      <c r="E119" s="48"/>
      <c r="F119" s="48"/>
      <c r="H119" s="48"/>
      <c r="I119" s="70"/>
      <c r="J119" s="71"/>
      <c r="K119" s="71"/>
      <c r="L119" s="71"/>
      <c r="M119" s="5"/>
      <c r="N119" s="5"/>
    </row>
    <row r="120" spans="5:14" x14ac:dyDescent="0.3">
      <c r="E120" s="48"/>
      <c r="F120" s="48"/>
      <c r="H120" s="48"/>
      <c r="I120" s="70"/>
      <c r="J120" s="71"/>
      <c r="K120" s="71"/>
      <c r="L120" s="71"/>
      <c r="M120" s="5"/>
      <c r="N120" s="5"/>
    </row>
    <row r="121" spans="5:14" x14ac:dyDescent="0.3">
      <c r="E121" s="48"/>
      <c r="F121" s="48"/>
      <c r="H121" s="48"/>
      <c r="I121" s="70"/>
      <c r="J121" s="71"/>
      <c r="K121" s="71"/>
      <c r="L121" s="71"/>
      <c r="M121" s="5"/>
      <c r="N121" s="5"/>
    </row>
    <row r="122" spans="5:14" x14ac:dyDescent="0.3">
      <c r="E122" s="48"/>
      <c r="F122" s="48"/>
      <c r="H122" s="48"/>
      <c r="I122" s="70"/>
      <c r="J122" s="71"/>
      <c r="K122" s="71"/>
      <c r="L122" s="71"/>
      <c r="M122" s="5"/>
      <c r="N122" s="5"/>
    </row>
    <row r="123" spans="5:14" x14ac:dyDescent="0.3">
      <c r="E123" s="48"/>
      <c r="F123" s="48"/>
      <c r="H123" s="48"/>
      <c r="I123" s="70"/>
      <c r="J123" s="71"/>
      <c r="K123" s="71"/>
      <c r="L123" s="71"/>
      <c r="M123" s="5"/>
      <c r="N123" s="5"/>
    </row>
    <row r="124" spans="5:14" x14ac:dyDescent="0.3">
      <c r="E124" s="48"/>
      <c r="F124" s="48"/>
      <c r="H124" s="48"/>
      <c r="I124" s="70"/>
      <c r="J124" s="71"/>
      <c r="K124" s="71"/>
      <c r="L124" s="71"/>
      <c r="M124" s="5"/>
      <c r="N124" s="5"/>
    </row>
    <row r="125" spans="5:14" x14ac:dyDescent="0.3">
      <c r="E125" s="48"/>
      <c r="F125" s="48"/>
      <c r="H125" s="48"/>
      <c r="I125" s="70"/>
      <c r="J125" s="71"/>
      <c r="K125" s="71"/>
      <c r="L125" s="71"/>
      <c r="M125" s="5"/>
      <c r="N125" s="5"/>
    </row>
    <row r="126" spans="5:14" x14ac:dyDescent="0.3">
      <c r="E126" s="48"/>
      <c r="F126" s="48"/>
      <c r="H126" s="48"/>
      <c r="I126" s="70"/>
      <c r="J126" s="71"/>
      <c r="K126" s="71"/>
      <c r="L126" s="71"/>
      <c r="M126" s="5"/>
      <c r="N126" s="5"/>
    </row>
    <row r="127" spans="5:14" x14ac:dyDescent="0.3">
      <c r="E127" s="48"/>
      <c r="F127" s="48"/>
      <c r="H127" s="48"/>
      <c r="I127" s="70"/>
      <c r="J127" s="71"/>
      <c r="K127" s="71"/>
      <c r="L127" s="71"/>
      <c r="M127" s="5"/>
      <c r="N127" s="5"/>
    </row>
    <row r="128" spans="5:14" x14ac:dyDescent="0.3">
      <c r="E128" s="48"/>
      <c r="F128" s="48"/>
      <c r="H128" s="48"/>
      <c r="I128" s="70"/>
      <c r="J128" s="71"/>
      <c r="K128" s="71"/>
      <c r="L128" s="71"/>
      <c r="M128" s="5"/>
      <c r="N128" s="5"/>
    </row>
    <row r="129" spans="2:14" x14ac:dyDescent="0.3">
      <c r="E129" s="48"/>
      <c r="F129" s="48"/>
      <c r="H129" s="48"/>
      <c r="I129" s="70"/>
      <c r="J129" s="71"/>
      <c r="K129" s="71"/>
      <c r="L129" s="71"/>
      <c r="M129" s="5"/>
      <c r="N129" s="5"/>
    </row>
    <row r="130" spans="2:14" x14ac:dyDescent="0.3">
      <c r="E130" s="48"/>
      <c r="F130" s="48"/>
      <c r="H130" s="48"/>
      <c r="I130" s="70"/>
      <c r="J130" s="71"/>
      <c r="K130" s="71"/>
      <c r="L130" s="71"/>
      <c r="M130" s="5"/>
      <c r="N130" s="5"/>
    </row>
    <row r="131" spans="2:14" x14ac:dyDescent="0.3">
      <c r="E131" s="48"/>
      <c r="F131" s="48"/>
      <c r="H131" s="48"/>
      <c r="I131" s="70"/>
      <c r="J131" s="71"/>
      <c r="K131" s="71"/>
      <c r="L131" s="71"/>
      <c r="M131" s="5"/>
      <c r="N131" s="5"/>
    </row>
    <row r="132" spans="2:14" x14ac:dyDescent="0.3">
      <c r="E132" s="48"/>
      <c r="F132" s="48"/>
      <c r="H132" s="48"/>
      <c r="I132" s="70"/>
      <c r="J132" s="71"/>
      <c r="K132" s="71"/>
      <c r="L132" s="71"/>
      <c r="M132" s="5"/>
      <c r="N132" s="5"/>
    </row>
    <row r="133" spans="2:14" x14ac:dyDescent="0.3">
      <c r="E133" s="48"/>
      <c r="F133" s="48"/>
      <c r="H133" s="48"/>
      <c r="I133" s="70"/>
      <c r="J133" s="71"/>
      <c r="K133" s="71"/>
      <c r="L133" s="71"/>
      <c r="M133" s="5"/>
      <c r="N133" s="5"/>
    </row>
    <row r="134" spans="2:14" x14ac:dyDescent="0.3">
      <c r="E134" s="48"/>
      <c r="F134" s="48"/>
      <c r="H134" s="48"/>
      <c r="I134" s="70"/>
      <c r="J134" s="71"/>
      <c r="K134" s="71"/>
      <c r="L134" s="71"/>
      <c r="M134" s="5"/>
      <c r="N134" s="5"/>
    </row>
    <row r="135" spans="2:14" x14ac:dyDescent="0.3">
      <c r="E135" s="48"/>
      <c r="F135" s="48"/>
      <c r="H135" s="48"/>
      <c r="I135" s="70"/>
      <c r="J135" s="71"/>
      <c r="K135" s="71"/>
      <c r="L135" s="71"/>
      <c r="M135" s="5"/>
      <c r="N135" s="5"/>
    </row>
    <row r="136" spans="2:14" x14ac:dyDescent="0.3">
      <c r="E136" s="48"/>
      <c r="F136" s="48"/>
      <c r="H136" s="48"/>
      <c r="I136" s="70"/>
      <c r="J136" s="71"/>
      <c r="K136" s="71"/>
      <c r="L136" s="71"/>
      <c r="M136" s="5"/>
      <c r="N136" s="5"/>
    </row>
    <row r="137" spans="2:14" x14ac:dyDescent="0.3">
      <c r="E137" s="48"/>
      <c r="F137" s="48"/>
      <c r="H137" s="48"/>
      <c r="I137" s="70"/>
      <c r="J137" s="71"/>
      <c r="K137" s="71"/>
      <c r="L137" s="71"/>
      <c r="M137" s="5"/>
      <c r="N137" s="5"/>
    </row>
    <row r="138" spans="2:14" x14ac:dyDescent="0.3">
      <c r="E138" s="48"/>
      <c r="F138" s="48"/>
      <c r="H138" s="48"/>
      <c r="I138" s="70"/>
      <c r="J138" s="71"/>
      <c r="K138" s="71"/>
      <c r="L138" s="71"/>
      <c r="M138" s="5"/>
      <c r="N138" s="5"/>
    </row>
    <row r="139" spans="2:14" x14ac:dyDescent="0.3">
      <c r="B139" s="43"/>
      <c r="E139" s="48"/>
      <c r="F139" s="48"/>
      <c r="H139" s="48"/>
      <c r="I139" s="70"/>
      <c r="J139" s="71"/>
      <c r="K139" s="71"/>
      <c r="L139" s="71"/>
      <c r="M139" s="5"/>
      <c r="N139" s="5"/>
    </row>
    <row r="140" spans="2:14" x14ac:dyDescent="0.3">
      <c r="E140" s="48"/>
      <c r="F140" s="48"/>
      <c r="H140" s="48"/>
      <c r="I140" s="70"/>
      <c r="J140" s="71"/>
      <c r="K140" s="71"/>
      <c r="L140" s="71"/>
      <c r="M140" s="5"/>
      <c r="N140" s="5"/>
    </row>
    <row r="141" spans="2:14" x14ac:dyDescent="0.3">
      <c r="E141" s="48"/>
      <c r="F141" s="48"/>
      <c r="H141" s="48"/>
      <c r="I141" s="70"/>
      <c r="J141" s="71"/>
      <c r="K141" s="71"/>
      <c r="L141" s="71"/>
      <c r="M141" s="5"/>
      <c r="N141" s="5"/>
    </row>
    <row r="142" spans="2:14" x14ac:dyDescent="0.3">
      <c r="E142" s="48"/>
      <c r="F142" s="48"/>
      <c r="H142" s="48"/>
      <c r="I142" s="70"/>
      <c r="J142" s="71"/>
      <c r="K142" s="71"/>
      <c r="L142" s="71"/>
      <c r="M142" s="5"/>
      <c r="N142" s="5"/>
    </row>
    <row r="143" spans="2:14" x14ac:dyDescent="0.3">
      <c r="E143" s="48"/>
      <c r="F143" s="48"/>
      <c r="H143" s="48"/>
      <c r="I143" s="70"/>
      <c r="J143" s="71"/>
      <c r="K143" s="71"/>
      <c r="L143" s="71"/>
      <c r="M143" s="5"/>
      <c r="N143" s="5"/>
    </row>
    <row r="144" spans="2:14" x14ac:dyDescent="0.3">
      <c r="E144" s="48"/>
      <c r="F144" s="48"/>
      <c r="H144" s="48"/>
      <c r="I144" s="70"/>
      <c r="J144" s="71"/>
      <c r="K144" s="71"/>
      <c r="L144" s="71"/>
      <c r="M144" s="5"/>
      <c r="N144" s="5"/>
    </row>
    <row r="145" spans="5:14" x14ac:dyDescent="0.3">
      <c r="E145" s="48"/>
      <c r="F145" s="48"/>
      <c r="H145" s="48"/>
      <c r="I145" s="70"/>
      <c r="J145" s="71"/>
      <c r="K145" s="71"/>
      <c r="L145" s="71"/>
      <c r="M145" s="5"/>
      <c r="N145" s="5"/>
    </row>
    <row r="146" spans="5:14" x14ac:dyDescent="0.3">
      <c r="E146" s="48"/>
      <c r="F146" s="48"/>
      <c r="H146" s="48"/>
      <c r="I146" s="70"/>
      <c r="J146" s="71"/>
      <c r="K146" s="71"/>
      <c r="L146" s="71"/>
      <c r="M146" s="5"/>
      <c r="N146" s="5"/>
    </row>
    <row r="147" spans="5:14" x14ac:dyDescent="0.3">
      <c r="E147" s="48"/>
      <c r="F147" s="48"/>
      <c r="H147" s="48"/>
      <c r="I147" s="70"/>
      <c r="J147" s="71"/>
      <c r="K147" s="71"/>
      <c r="L147" s="71"/>
      <c r="M147" s="5"/>
      <c r="N147" s="5"/>
    </row>
    <row r="148" spans="5:14" x14ac:dyDescent="0.3">
      <c r="E148" s="48"/>
      <c r="F148" s="48"/>
      <c r="H148" s="48"/>
      <c r="I148" s="70"/>
      <c r="J148" s="71"/>
      <c r="K148" s="71"/>
      <c r="L148" s="71"/>
      <c r="M148" s="5"/>
      <c r="N148" s="5"/>
    </row>
    <row r="149" spans="5:14" x14ac:dyDescent="0.3">
      <c r="E149" s="48"/>
      <c r="F149" s="48"/>
      <c r="H149" s="48"/>
      <c r="I149" s="70"/>
      <c r="J149" s="71"/>
      <c r="K149" s="71"/>
      <c r="L149" s="71"/>
      <c r="M149" s="5"/>
      <c r="N149" s="5"/>
    </row>
    <row r="150" spans="5:14" x14ac:dyDescent="0.3">
      <c r="E150" s="48"/>
      <c r="F150" s="48"/>
      <c r="H150" s="48"/>
      <c r="I150" s="70"/>
      <c r="J150" s="71"/>
      <c r="K150" s="71"/>
      <c r="L150" s="71"/>
      <c r="M150" s="5"/>
      <c r="N150" s="5"/>
    </row>
    <row r="151" spans="5:14" x14ac:dyDescent="0.3">
      <c r="E151" s="48"/>
      <c r="F151" s="48"/>
      <c r="H151" s="48"/>
      <c r="I151" s="70"/>
      <c r="J151" s="71"/>
      <c r="K151" s="71"/>
      <c r="L151" s="71"/>
      <c r="M151" s="5"/>
      <c r="N151" s="5"/>
    </row>
    <row r="152" spans="5:14" x14ac:dyDescent="0.3">
      <c r="E152" s="48"/>
      <c r="F152" s="48"/>
      <c r="H152" s="48"/>
      <c r="I152" s="70"/>
      <c r="J152" s="71"/>
      <c r="K152" s="71"/>
      <c r="L152" s="71"/>
      <c r="M152" s="5"/>
      <c r="N152" s="5"/>
    </row>
    <row r="153" spans="5:14" x14ac:dyDescent="0.3">
      <c r="E153" s="48"/>
      <c r="F153" s="48"/>
      <c r="H153" s="48"/>
      <c r="I153" s="70"/>
      <c r="J153" s="71"/>
      <c r="K153" s="71"/>
      <c r="L153" s="71"/>
      <c r="M153" s="5"/>
      <c r="N153" s="5"/>
    </row>
    <row r="154" spans="5:14" x14ac:dyDescent="0.3">
      <c r="E154" s="48"/>
      <c r="F154" s="48"/>
      <c r="H154" s="48"/>
      <c r="I154" s="70"/>
      <c r="J154" s="71"/>
      <c r="K154" s="71"/>
      <c r="L154" s="71"/>
      <c r="M154" s="5"/>
      <c r="N154" s="5"/>
    </row>
    <row r="155" spans="5:14" x14ac:dyDescent="0.3">
      <c r="E155" s="48"/>
      <c r="F155" s="48"/>
      <c r="H155" s="48"/>
      <c r="I155" s="70"/>
      <c r="J155" s="71"/>
      <c r="K155" s="71"/>
      <c r="L155" s="71"/>
      <c r="M155" s="5"/>
      <c r="N155" s="5"/>
    </row>
    <row r="156" spans="5:14" x14ac:dyDescent="0.3">
      <c r="E156" s="48"/>
      <c r="F156" s="48"/>
      <c r="H156" s="48"/>
      <c r="I156" s="70"/>
      <c r="J156" s="71"/>
      <c r="K156" s="71"/>
      <c r="L156" s="71"/>
      <c r="M156" s="5"/>
      <c r="N156" s="5"/>
    </row>
    <row r="157" spans="5:14" x14ac:dyDescent="0.3">
      <c r="E157" s="48"/>
      <c r="F157" s="48"/>
      <c r="H157" s="48"/>
      <c r="I157" s="70"/>
      <c r="J157" s="71"/>
      <c r="K157" s="71"/>
      <c r="L157" s="71"/>
      <c r="M157" s="5"/>
      <c r="N157" s="5"/>
    </row>
    <row r="158" spans="5:14" x14ac:dyDescent="0.3">
      <c r="E158" s="48"/>
      <c r="F158" s="48"/>
      <c r="H158" s="48"/>
      <c r="I158" s="70"/>
      <c r="J158" s="71"/>
      <c r="K158" s="71"/>
      <c r="L158" s="71"/>
      <c r="M158" s="5"/>
      <c r="N158" s="5"/>
    </row>
    <row r="159" spans="5:14" x14ac:dyDescent="0.3">
      <c r="E159" s="48"/>
      <c r="F159" s="48"/>
      <c r="H159" s="48"/>
      <c r="I159" s="70"/>
      <c r="J159" s="71"/>
      <c r="K159" s="71"/>
      <c r="L159" s="71"/>
      <c r="M159" s="5"/>
      <c r="N159" s="5"/>
    </row>
    <row r="160" spans="5:14" x14ac:dyDescent="0.3">
      <c r="E160" s="48"/>
      <c r="F160" s="48"/>
      <c r="H160" s="48"/>
      <c r="I160" s="70"/>
      <c r="J160" s="71"/>
      <c r="K160" s="71"/>
      <c r="L160" s="71"/>
      <c r="M160" s="5"/>
      <c r="N160" s="5"/>
    </row>
    <row r="161" spans="5:14" x14ac:dyDescent="0.3">
      <c r="E161" s="48"/>
      <c r="F161" s="48"/>
      <c r="H161" s="48"/>
      <c r="I161" s="70"/>
      <c r="J161" s="71"/>
      <c r="K161" s="71"/>
      <c r="L161" s="71"/>
      <c r="M161" s="5"/>
      <c r="N161" s="5"/>
    </row>
    <row r="162" spans="5:14" x14ac:dyDescent="0.3">
      <c r="E162" s="48"/>
      <c r="F162" s="48"/>
      <c r="H162" s="48"/>
      <c r="I162" s="70"/>
      <c r="J162" s="71"/>
      <c r="K162" s="71"/>
      <c r="L162" s="71"/>
      <c r="M162" s="5"/>
      <c r="N162" s="5"/>
    </row>
    <row r="163" spans="5:14" x14ac:dyDescent="0.3">
      <c r="E163" s="48"/>
      <c r="F163" s="48"/>
      <c r="H163" s="48"/>
      <c r="I163" s="70"/>
      <c r="J163" s="71"/>
      <c r="K163" s="71"/>
      <c r="L163" s="71"/>
      <c r="M163" s="5"/>
      <c r="N163" s="5"/>
    </row>
    <row r="164" spans="5:14" x14ac:dyDescent="0.3">
      <c r="E164" s="48"/>
      <c r="F164" s="48"/>
      <c r="H164" s="48"/>
      <c r="I164" s="70"/>
      <c r="J164" s="71"/>
      <c r="K164" s="71"/>
      <c r="L164" s="71"/>
      <c r="M164" s="5"/>
      <c r="N164" s="5"/>
    </row>
    <row r="165" spans="5:14" x14ac:dyDescent="0.3">
      <c r="E165" s="48"/>
      <c r="F165" s="48"/>
      <c r="H165" s="48"/>
      <c r="I165" s="70"/>
      <c r="J165" s="71"/>
      <c r="K165" s="71"/>
      <c r="L165" s="71"/>
      <c r="M165" s="5"/>
      <c r="N165" s="5"/>
    </row>
    <row r="166" spans="5:14" x14ac:dyDescent="0.3">
      <c r="E166" s="48"/>
      <c r="F166" s="48"/>
      <c r="H166" s="48"/>
      <c r="I166" s="70"/>
      <c r="J166" s="71"/>
      <c r="K166" s="71"/>
      <c r="L166" s="71"/>
      <c r="M166" s="5"/>
      <c r="N166" s="5"/>
    </row>
    <row r="167" spans="5:14" x14ac:dyDescent="0.3">
      <c r="E167" s="48"/>
      <c r="F167" s="48"/>
      <c r="H167" s="48"/>
      <c r="I167" s="70"/>
      <c r="J167" s="71"/>
      <c r="K167" s="71"/>
      <c r="L167" s="71"/>
      <c r="M167" s="5"/>
      <c r="N167" s="5"/>
    </row>
    <row r="168" spans="5:14" x14ac:dyDescent="0.3">
      <c r="E168" s="48"/>
      <c r="F168" s="48"/>
      <c r="H168" s="48"/>
      <c r="I168" s="70"/>
      <c r="J168" s="71"/>
      <c r="K168" s="71"/>
      <c r="L168" s="71"/>
      <c r="M168" s="5"/>
      <c r="N168" s="5"/>
    </row>
    <row r="169" spans="5:14" x14ac:dyDescent="0.3">
      <c r="E169" s="48"/>
      <c r="F169" s="48"/>
      <c r="H169" s="48"/>
      <c r="I169" s="70"/>
      <c r="J169" s="71"/>
      <c r="K169" s="71"/>
      <c r="L169" s="71"/>
      <c r="M169" s="5"/>
      <c r="N169" s="5"/>
    </row>
    <row r="170" spans="5:14" x14ac:dyDescent="0.3">
      <c r="E170" s="48"/>
      <c r="F170" s="48"/>
      <c r="H170" s="48"/>
      <c r="I170" s="70"/>
      <c r="J170" s="71"/>
      <c r="K170" s="71"/>
      <c r="L170" s="71"/>
      <c r="M170" s="5"/>
      <c r="N170" s="5"/>
    </row>
    <row r="171" spans="5:14" x14ac:dyDescent="0.3">
      <c r="E171" s="48"/>
      <c r="F171" s="48"/>
      <c r="H171" s="48"/>
      <c r="I171" s="70"/>
      <c r="J171" s="71"/>
      <c r="K171" s="71"/>
      <c r="L171" s="71"/>
      <c r="M171" s="5"/>
      <c r="N171" s="5"/>
    </row>
    <row r="172" spans="5:14" x14ac:dyDescent="0.3">
      <c r="E172" s="48"/>
      <c r="F172" s="48"/>
      <c r="H172" s="48"/>
      <c r="I172" s="70"/>
      <c r="J172" s="71"/>
      <c r="K172" s="71"/>
      <c r="L172" s="71"/>
      <c r="M172" s="5"/>
      <c r="N172" s="5"/>
    </row>
    <row r="173" spans="5:14" x14ac:dyDescent="0.3">
      <c r="E173" s="48"/>
      <c r="F173" s="48"/>
      <c r="H173" s="48"/>
      <c r="I173" s="70"/>
      <c r="J173" s="71"/>
      <c r="K173" s="71"/>
      <c r="L173" s="71"/>
      <c r="M173" s="5"/>
      <c r="N173" s="5"/>
    </row>
    <row r="174" spans="5:14" x14ac:dyDescent="0.3">
      <c r="E174" s="48"/>
      <c r="F174" s="48"/>
      <c r="H174" s="48"/>
      <c r="I174" s="70"/>
      <c r="J174" s="71"/>
      <c r="K174" s="71"/>
      <c r="L174" s="71"/>
      <c r="M174" s="5"/>
      <c r="N174" s="5"/>
    </row>
    <row r="175" spans="5:14" x14ac:dyDescent="0.3">
      <c r="E175" s="48"/>
      <c r="F175" s="48"/>
      <c r="H175" s="48"/>
      <c r="I175" s="70"/>
      <c r="J175" s="71"/>
      <c r="K175" s="71"/>
      <c r="L175" s="71"/>
      <c r="M175" s="5"/>
      <c r="N175" s="5"/>
    </row>
    <row r="176" spans="5:14" x14ac:dyDescent="0.3">
      <c r="E176" s="48"/>
      <c r="F176" s="48"/>
      <c r="H176" s="48"/>
      <c r="I176" s="70"/>
      <c r="J176" s="71"/>
      <c r="K176" s="71"/>
      <c r="L176" s="71"/>
      <c r="M176" s="5"/>
      <c r="N176" s="5"/>
    </row>
    <row r="177" spans="5:14" x14ac:dyDescent="0.3">
      <c r="E177" s="48"/>
      <c r="F177" s="48"/>
      <c r="H177" s="48"/>
      <c r="I177" s="70"/>
      <c r="J177" s="71"/>
      <c r="K177" s="71"/>
      <c r="L177" s="71"/>
      <c r="M177" s="5"/>
      <c r="N177" s="5"/>
    </row>
    <row r="178" spans="5:14" x14ac:dyDescent="0.3">
      <c r="E178" s="48"/>
      <c r="F178" s="48"/>
      <c r="H178" s="48"/>
      <c r="I178" s="70"/>
      <c r="J178" s="71"/>
      <c r="K178" s="71"/>
      <c r="L178" s="71"/>
      <c r="M178" s="5"/>
      <c r="N178" s="5"/>
    </row>
    <row r="179" spans="5:14" x14ac:dyDescent="0.3">
      <c r="E179" s="48"/>
      <c r="F179" s="48"/>
      <c r="H179" s="48"/>
      <c r="I179" s="70"/>
      <c r="J179" s="71"/>
      <c r="K179" s="71"/>
      <c r="L179" s="71"/>
      <c r="M179" s="5"/>
      <c r="N179" s="5"/>
    </row>
    <row r="180" spans="5:14" x14ac:dyDescent="0.3">
      <c r="E180" s="48"/>
      <c r="F180" s="48"/>
      <c r="H180" s="48"/>
      <c r="I180" s="70"/>
      <c r="J180" s="71"/>
      <c r="K180" s="71"/>
      <c r="L180" s="71"/>
      <c r="M180" s="5"/>
      <c r="N180" s="5"/>
    </row>
    <row r="181" spans="5:14" x14ac:dyDescent="0.3">
      <c r="E181" s="48"/>
      <c r="H181" s="48"/>
      <c r="I181" s="70"/>
      <c r="J181" s="71"/>
      <c r="K181" s="71"/>
      <c r="L181" s="71"/>
      <c r="M181" s="5"/>
      <c r="N181" s="5"/>
    </row>
    <row r="182" spans="5:14" x14ac:dyDescent="0.3">
      <c r="E182" s="48"/>
      <c r="H182" s="48"/>
      <c r="I182" s="70"/>
      <c r="J182" s="71"/>
      <c r="K182" s="71"/>
      <c r="L182" s="71"/>
      <c r="M182" s="5"/>
      <c r="N182" s="5"/>
    </row>
    <row r="183" spans="5:14" x14ac:dyDescent="0.3">
      <c r="E183" s="48"/>
      <c r="H183" s="48"/>
      <c r="I183" s="70"/>
      <c r="J183" s="71"/>
      <c r="K183" s="71"/>
      <c r="L183" s="71"/>
      <c r="M183" s="5"/>
      <c r="N183" s="5"/>
    </row>
    <row r="184" spans="5:14" x14ac:dyDescent="0.3">
      <c r="E184" s="48"/>
      <c r="H184" s="48"/>
      <c r="I184" s="70"/>
      <c r="J184" s="71"/>
      <c r="K184" s="71"/>
      <c r="L184" s="71"/>
      <c r="M184" s="5"/>
      <c r="N184" s="5"/>
    </row>
    <row r="185" spans="5:14" x14ac:dyDescent="0.3">
      <c r="E185" s="48"/>
      <c r="H185" s="48"/>
      <c r="I185" s="70"/>
      <c r="J185" s="71"/>
      <c r="K185" s="71"/>
      <c r="L185" s="71"/>
      <c r="M185" s="5"/>
      <c r="N185" s="5"/>
    </row>
    <row r="186" spans="5:14" x14ac:dyDescent="0.3">
      <c r="E186" s="48"/>
      <c r="H186" s="48"/>
      <c r="I186" s="70"/>
      <c r="J186" s="71"/>
      <c r="K186" s="71"/>
      <c r="L186" s="71"/>
      <c r="M186" s="5"/>
      <c r="N186" s="5"/>
    </row>
    <row r="187" spans="5:14" x14ac:dyDescent="0.3">
      <c r="E187" s="48"/>
      <c r="H187" s="48"/>
      <c r="I187" s="70"/>
      <c r="J187" s="71"/>
      <c r="K187" s="71"/>
      <c r="L187" s="71"/>
      <c r="M187" s="5"/>
      <c r="N187" s="5"/>
    </row>
    <row r="188" spans="5:14" x14ac:dyDescent="0.3">
      <c r="E188" s="48"/>
      <c r="H188" s="48"/>
      <c r="I188" s="70"/>
      <c r="J188" s="71"/>
      <c r="K188" s="71"/>
      <c r="L188" s="71"/>
      <c r="M188" s="5"/>
      <c r="N188" s="5"/>
    </row>
    <row r="189" spans="5:14" x14ac:dyDescent="0.3">
      <c r="E189" s="48"/>
      <c r="H189" s="48"/>
      <c r="I189" s="70"/>
      <c r="J189" s="71"/>
      <c r="K189" s="71"/>
      <c r="L189" s="71"/>
      <c r="M189" s="5"/>
      <c r="N189" s="5"/>
    </row>
    <row r="190" spans="5:14" x14ac:dyDescent="0.3">
      <c r="E190" s="48"/>
      <c r="H190" s="48"/>
      <c r="I190" s="70"/>
      <c r="J190" s="71"/>
      <c r="K190" s="71"/>
      <c r="L190" s="71"/>
      <c r="M190" s="5"/>
      <c r="N190" s="5"/>
    </row>
    <row r="191" spans="5:14" x14ac:dyDescent="0.3">
      <c r="E191" s="48"/>
      <c r="H191" s="48"/>
      <c r="I191" s="70"/>
      <c r="J191" s="71"/>
      <c r="K191" s="71"/>
      <c r="L191" s="71"/>
      <c r="M191" s="5"/>
      <c r="N191" s="5"/>
    </row>
    <row r="192" spans="5:14" x14ac:dyDescent="0.3">
      <c r="E192" s="48"/>
      <c r="H192" s="48"/>
      <c r="I192" s="70"/>
      <c r="J192" s="71"/>
      <c r="K192" s="71"/>
      <c r="L192" s="71"/>
      <c r="M192" s="5"/>
      <c r="N192" s="5"/>
    </row>
    <row r="193" spans="5:14" x14ac:dyDescent="0.3">
      <c r="E193" s="48"/>
      <c r="H193" s="48"/>
      <c r="I193" s="70"/>
      <c r="J193" s="71"/>
      <c r="K193" s="71"/>
      <c r="L193" s="71"/>
      <c r="M193" s="5"/>
      <c r="N193" s="5"/>
    </row>
    <row r="194" spans="5:14" x14ac:dyDescent="0.3">
      <c r="E194" s="48"/>
      <c r="H194" s="48"/>
      <c r="I194" s="70"/>
      <c r="J194" s="71"/>
      <c r="K194" s="71"/>
      <c r="L194" s="71"/>
      <c r="M194" s="5"/>
      <c r="N194" s="5"/>
    </row>
    <row r="195" spans="5:14" x14ac:dyDescent="0.3">
      <c r="E195" s="48"/>
      <c r="H195" s="48"/>
      <c r="I195" s="70"/>
      <c r="J195" s="71"/>
      <c r="K195" s="71"/>
      <c r="L195" s="71"/>
      <c r="M195" s="5"/>
      <c r="N195" s="5"/>
    </row>
    <row r="196" spans="5:14" x14ac:dyDescent="0.3">
      <c r="E196" s="48"/>
      <c r="H196" s="48"/>
      <c r="I196" s="70"/>
      <c r="J196" s="71"/>
      <c r="K196" s="71"/>
      <c r="L196" s="71"/>
      <c r="M196" s="5"/>
      <c r="N196" s="5"/>
    </row>
    <row r="197" spans="5:14" x14ac:dyDescent="0.3">
      <c r="E197" s="48"/>
      <c r="H197" s="48"/>
      <c r="I197" s="70"/>
      <c r="J197" s="71"/>
      <c r="K197" s="71"/>
      <c r="L197" s="71"/>
      <c r="M197" s="5"/>
      <c r="N197" s="5"/>
    </row>
    <row r="198" spans="5:14" x14ac:dyDescent="0.3">
      <c r="E198" s="48"/>
      <c r="H198" s="48"/>
      <c r="I198" s="70"/>
      <c r="J198" s="71"/>
      <c r="K198" s="71"/>
      <c r="L198" s="71"/>
      <c r="M198" s="5"/>
      <c r="N198" s="5"/>
    </row>
    <row r="199" spans="5:14" x14ac:dyDescent="0.3">
      <c r="E199" s="48"/>
      <c r="H199" s="48"/>
      <c r="I199" s="70"/>
      <c r="J199" s="71"/>
      <c r="K199" s="71"/>
      <c r="L199" s="71"/>
      <c r="M199" s="5"/>
      <c r="N199" s="5"/>
    </row>
    <row r="200" spans="5:14" x14ac:dyDescent="0.3">
      <c r="E200" s="48"/>
      <c r="H200" s="48"/>
      <c r="I200" s="70"/>
      <c r="J200" s="71"/>
      <c r="K200" s="71"/>
      <c r="L200" s="71"/>
      <c r="M200" s="5"/>
      <c r="N200" s="5"/>
    </row>
    <row r="201" spans="5:14" x14ac:dyDescent="0.3">
      <c r="E201" s="48"/>
      <c r="H201" s="48"/>
      <c r="I201" s="70"/>
      <c r="J201" s="71"/>
      <c r="K201" s="71"/>
      <c r="L201" s="71"/>
      <c r="M201" s="5"/>
      <c r="N201" s="5"/>
    </row>
    <row r="202" spans="5:14" x14ac:dyDescent="0.3">
      <c r="E202" s="48"/>
      <c r="H202" s="48"/>
      <c r="I202" s="70"/>
      <c r="J202" s="71"/>
      <c r="K202" s="71"/>
      <c r="L202" s="71"/>
      <c r="M202" s="5"/>
      <c r="N202" s="5"/>
    </row>
    <row r="203" spans="5:14" x14ac:dyDescent="0.3">
      <c r="E203" s="48"/>
      <c r="H203" s="48"/>
      <c r="I203" s="70"/>
      <c r="J203" s="71"/>
      <c r="K203" s="71"/>
      <c r="L203" s="71"/>
      <c r="M203" s="5"/>
      <c r="N203" s="5"/>
    </row>
    <row r="204" spans="5:14" x14ac:dyDescent="0.3">
      <c r="E204" s="48"/>
      <c r="H204" s="48"/>
      <c r="I204" s="70"/>
      <c r="J204" s="71"/>
      <c r="K204" s="71"/>
      <c r="L204" s="71"/>
      <c r="M204" s="5"/>
      <c r="N204" s="5"/>
    </row>
    <row r="205" spans="5:14" x14ac:dyDescent="0.3">
      <c r="E205" s="48"/>
      <c r="H205" s="48"/>
      <c r="I205" s="70"/>
      <c r="J205" s="71"/>
      <c r="K205" s="71"/>
      <c r="L205" s="71"/>
      <c r="M205" s="5"/>
      <c r="N205" s="5"/>
    </row>
    <row r="206" spans="5:14" x14ac:dyDescent="0.3">
      <c r="E206" s="48"/>
      <c r="H206" s="48"/>
      <c r="I206" s="70"/>
      <c r="J206" s="71"/>
      <c r="K206" s="71"/>
      <c r="L206" s="71"/>
      <c r="M206" s="5"/>
      <c r="N206" s="5"/>
    </row>
    <row r="207" spans="5:14" x14ac:dyDescent="0.3">
      <c r="E207" s="48"/>
      <c r="H207" s="48"/>
      <c r="I207" s="70"/>
      <c r="J207" s="71"/>
      <c r="K207" s="71"/>
      <c r="L207" s="71"/>
      <c r="M207" s="5"/>
      <c r="N207" s="5"/>
    </row>
    <row r="208" spans="5:14" x14ac:dyDescent="0.3">
      <c r="E208" s="48"/>
      <c r="H208" s="48"/>
      <c r="I208" s="70"/>
      <c r="J208" s="71"/>
      <c r="K208" s="71"/>
      <c r="L208" s="71"/>
      <c r="M208" s="5"/>
      <c r="N208" s="5"/>
    </row>
    <row r="209" spans="5:14" x14ac:dyDescent="0.3">
      <c r="E209" s="48"/>
      <c r="H209" s="48"/>
      <c r="I209" s="70"/>
      <c r="J209" s="71"/>
      <c r="K209" s="71"/>
      <c r="L209" s="71"/>
      <c r="M209" s="5"/>
      <c r="N209" s="5"/>
    </row>
    <row r="210" spans="5:14" x14ac:dyDescent="0.3">
      <c r="E210" s="48"/>
      <c r="H210" s="48"/>
      <c r="I210" s="70"/>
      <c r="J210" s="71"/>
      <c r="K210" s="71"/>
      <c r="L210" s="71"/>
      <c r="M210" s="5"/>
      <c r="N210" s="5"/>
    </row>
    <row r="211" spans="5:14" x14ac:dyDescent="0.3">
      <c r="E211" s="48"/>
      <c r="H211" s="48"/>
      <c r="I211" s="70"/>
      <c r="J211" s="71"/>
      <c r="K211" s="71"/>
      <c r="L211" s="71"/>
      <c r="M211" s="5"/>
      <c r="N211" s="5"/>
    </row>
    <row r="212" spans="5:14" x14ac:dyDescent="0.3">
      <c r="E212" s="48"/>
      <c r="H212" s="48"/>
      <c r="I212" s="70"/>
      <c r="J212" s="71"/>
      <c r="K212" s="71"/>
      <c r="L212" s="71"/>
      <c r="M212" s="5"/>
      <c r="N212" s="5"/>
    </row>
    <row r="213" spans="5:14" x14ac:dyDescent="0.3">
      <c r="E213" s="48"/>
      <c r="H213" s="48"/>
      <c r="I213" s="70"/>
      <c r="J213" s="71"/>
      <c r="K213" s="71"/>
      <c r="L213" s="71"/>
      <c r="M213" s="5"/>
      <c r="N213" s="5"/>
    </row>
    <row r="214" spans="5:14" x14ac:dyDescent="0.3">
      <c r="E214" s="48"/>
      <c r="H214" s="48"/>
      <c r="I214" s="70"/>
      <c r="J214" s="71"/>
      <c r="K214" s="71"/>
      <c r="L214" s="71"/>
      <c r="M214" s="5"/>
      <c r="N214" s="5"/>
    </row>
    <row r="215" spans="5:14" x14ac:dyDescent="0.3">
      <c r="E215" s="48"/>
      <c r="H215" s="48"/>
      <c r="I215" s="70"/>
      <c r="J215" s="71"/>
      <c r="K215" s="71"/>
      <c r="L215" s="71"/>
      <c r="M215" s="5"/>
      <c r="N215" s="5"/>
    </row>
    <row r="216" spans="5:14" x14ac:dyDescent="0.3">
      <c r="E216" s="48"/>
      <c r="H216" s="48"/>
      <c r="I216" s="70"/>
      <c r="J216" s="71"/>
      <c r="K216" s="71"/>
      <c r="L216" s="71"/>
      <c r="M216" s="5"/>
      <c r="N216" s="5"/>
    </row>
    <row r="217" spans="5:14" x14ac:dyDescent="0.3">
      <c r="E217" s="48"/>
      <c r="H217" s="48"/>
      <c r="I217" s="70"/>
      <c r="J217" s="71"/>
      <c r="K217" s="71"/>
      <c r="L217" s="71"/>
      <c r="M217" s="5"/>
      <c r="N217" s="5"/>
    </row>
    <row r="218" spans="5:14" x14ac:dyDescent="0.3">
      <c r="E218" s="48"/>
      <c r="H218" s="48"/>
      <c r="I218" s="70"/>
      <c r="J218" s="71"/>
      <c r="K218" s="71"/>
      <c r="L218" s="71"/>
      <c r="M218" s="5"/>
      <c r="N218" s="5"/>
    </row>
    <row r="219" spans="5:14" x14ac:dyDescent="0.3">
      <c r="E219" s="48"/>
      <c r="H219" s="48"/>
      <c r="I219" s="70"/>
      <c r="J219" s="71"/>
      <c r="K219" s="71"/>
      <c r="L219" s="71"/>
    </row>
    <row r="220" spans="5:14" x14ac:dyDescent="0.3">
      <c r="E220" s="48"/>
      <c r="H220" s="48"/>
      <c r="I220" s="70"/>
      <c r="J220" s="71"/>
      <c r="K220" s="71"/>
      <c r="L220" s="71"/>
    </row>
    <row r="221" spans="5:14" x14ac:dyDescent="0.3">
      <c r="E221" s="48"/>
      <c r="H221" s="48"/>
      <c r="I221" s="70"/>
      <c r="J221" s="71"/>
      <c r="K221" s="71"/>
      <c r="L221" s="71"/>
    </row>
    <row r="222" spans="5:14" x14ac:dyDescent="0.3">
      <c r="E222" s="48"/>
      <c r="H222" s="48"/>
      <c r="I222" s="70"/>
      <c r="J222" s="71"/>
      <c r="K222" s="71"/>
      <c r="L222" s="71"/>
    </row>
    <row r="223" spans="5:14" x14ac:dyDescent="0.3">
      <c r="E223" s="48"/>
      <c r="H223" s="48"/>
      <c r="I223" s="70"/>
      <c r="J223" s="71"/>
      <c r="K223" s="71"/>
      <c r="L223" s="71"/>
    </row>
    <row r="224" spans="5:14" x14ac:dyDescent="0.3">
      <c r="E224" s="48"/>
      <c r="H224" s="48"/>
      <c r="I224" s="70"/>
      <c r="J224" s="71"/>
      <c r="K224" s="71"/>
      <c r="L224" s="71"/>
    </row>
    <row r="225" spans="2:15" x14ac:dyDescent="0.3">
      <c r="E225" s="48"/>
      <c r="H225" s="48"/>
      <c r="I225" s="70"/>
      <c r="J225" s="71"/>
      <c r="K225" s="71"/>
      <c r="L225" s="71"/>
    </row>
    <row r="226" spans="2:15" x14ac:dyDescent="0.3">
      <c r="E226" s="48"/>
      <c r="H226" s="48"/>
      <c r="I226" s="70"/>
      <c r="J226" s="71"/>
      <c r="K226" s="71"/>
      <c r="L226" s="71"/>
    </row>
    <row r="227" spans="2:15" x14ac:dyDescent="0.3">
      <c r="E227" s="48"/>
      <c r="H227" s="48"/>
      <c r="I227" s="70"/>
      <c r="J227" s="71"/>
      <c r="K227" s="71"/>
      <c r="L227" s="71"/>
    </row>
    <row r="228" spans="2:15" x14ac:dyDescent="0.3">
      <c r="E228" s="48"/>
      <c r="H228" s="48"/>
      <c r="I228" s="70"/>
      <c r="J228" s="71"/>
      <c r="K228" s="71"/>
      <c r="L228" s="71"/>
    </row>
    <row r="229" spans="2:15" s="5" customFormat="1" x14ac:dyDescent="0.3">
      <c r="B229" s="6"/>
      <c r="C229" s="6"/>
      <c r="D229" s="6"/>
      <c r="E229" s="48"/>
      <c r="F229" s="6"/>
      <c r="H229" s="48"/>
      <c r="I229" s="70"/>
      <c r="J229" s="71"/>
      <c r="K229" s="71"/>
      <c r="L229" s="71"/>
      <c r="M229" s="6"/>
      <c r="N229" s="6"/>
      <c r="O229" s="6"/>
    </row>
    <row r="230" spans="2:15" s="5" customFormat="1" x14ac:dyDescent="0.3">
      <c r="B230" s="6"/>
      <c r="C230" s="6"/>
      <c r="D230" s="6"/>
      <c r="E230" s="48"/>
      <c r="F230" s="6"/>
      <c r="H230" s="48"/>
      <c r="I230" s="70"/>
      <c r="J230" s="71"/>
      <c r="K230" s="71"/>
      <c r="L230" s="71"/>
      <c r="M230" s="6"/>
      <c r="N230" s="6"/>
      <c r="O230" s="6"/>
    </row>
    <row r="231" spans="2:15" s="5" customFormat="1" x14ac:dyDescent="0.3">
      <c r="B231" s="6"/>
      <c r="C231" s="6"/>
      <c r="D231" s="6"/>
      <c r="E231" s="48"/>
      <c r="F231" s="6"/>
      <c r="H231" s="48"/>
      <c r="I231" s="70"/>
      <c r="J231" s="71"/>
      <c r="K231" s="71"/>
      <c r="L231" s="71"/>
      <c r="M231" s="6"/>
      <c r="N231" s="6"/>
      <c r="O231" s="6"/>
    </row>
    <row r="232" spans="2:15" s="5" customFormat="1" x14ac:dyDescent="0.3">
      <c r="B232" s="6"/>
      <c r="C232" s="6"/>
      <c r="D232" s="6"/>
      <c r="E232" s="48"/>
      <c r="F232" s="6"/>
      <c r="H232" s="48"/>
      <c r="I232" s="70"/>
      <c r="J232" s="71"/>
      <c r="K232" s="71"/>
      <c r="L232" s="71"/>
      <c r="M232" s="6"/>
      <c r="N232" s="6"/>
      <c r="O232" s="6"/>
    </row>
    <row r="233" spans="2:15" s="5" customFormat="1" x14ac:dyDescent="0.3">
      <c r="B233" s="6"/>
      <c r="C233" s="6"/>
      <c r="D233" s="6"/>
      <c r="E233" s="48"/>
      <c r="F233" s="6"/>
      <c r="H233" s="48"/>
      <c r="I233" s="70"/>
      <c r="J233" s="71"/>
      <c r="K233" s="71"/>
      <c r="L233" s="71"/>
      <c r="M233" s="6"/>
      <c r="N233" s="6"/>
      <c r="O233" s="6"/>
    </row>
    <row r="234" spans="2:15" s="5" customFormat="1" x14ac:dyDescent="0.3">
      <c r="B234" s="6"/>
      <c r="C234" s="6"/>
      <c r="D234" s="6"/>
      <c r="E234" s="48"/>
      <c r="F234" s="6"/>
      <c r="H234" s="48"/>
      <c r="I234" s="70"/>
      <c r="J234" s="71"/>
      <c r="K234" s="71"/>
      <c r="L234" s="71"/>
      <c r="M234" s="6"/>
      <c r="N234" s="6"/>
      <c r="O234" s="6"/>
    </row>
    <row r="235" spans="2:15" s="5" customFormat="1" x14ac:dyDescent="0.3">
      <c r="B235" s="6"/>
      <c r="C235" s="6"/>
      <c r="D235" s="6"/>
      <c r="E235" s="48"/>
      <c r="F235" s="6"/>
      <c r="H235" s="48"/>
      <c r="I235" s="70"/>
      <c r="J235" s="71"/>
      <c r="K235" s="71"/>
      <c r="L235" s="71"/>
      <c r="M235" s="6"/>
      <c r="N235" s="6"/>
      <c r="O235" s="6"/>
    </row>
    <row r="236" spans="2:15" s="5" customFormat="1" x14ac:dyDescent="0.3">
      <c r="B236" s="6"/>
      <c r="C236" s="6"/>
      <c r="D236" s="6"/>
      <c r="E236" s="48"/>
      <c r="F236" s="6"/>
      <c r="H236" s="48"/>
      <c r="I236" s="70"/>
      <c r="J236" s="71"/>
      <c r="K236" s="71"/>
      <c r="L236" s="71"/>
      <c r="M236" s="6"/>
      <c r="N236" s="6"/>
      <c r="O236" s="6"/>
    </row>
    <row r="237" spans="2:15" s="5" customFormat="1" x14ac:dyDescent="0.3">
      <c r="B237" s="6"/>
      <c r="C237" s="6"/>
      <c r="D237" s="6"/>
      <c r="E237" s="48"/>
      <c r="F237" s="6"/>
      <c r="H237" s="48"/>
      <c r="I237" s="70"/>
      <c r="J237" s="71"/>
      <c r="K237" s="71"/>
      <c r="L237" s="71"/>
      <c r="M237" s="6"/>
      <c r="N237" s="6"/>
      <c r="O237" s="6"/>
    </row>
    <row r="238" spans="2:15" s="5" customFormat="1" x14ac:dyDescent="0.3">
      <c r="B238" s="6"/>
      <c r="C238" s="6"/>
      <c r="D238" s="6"/>
      <c r="E238" s="48"/>
      <c r="F238" s="6"/>
      <c r="H238" s="48"/>
      <c r="I238" s="70"/>
      <c r="J238" s="71"/>
      <c r="K238" s="71"/>
      <c r="L238" s="71"/>
      <c r="M238" s="6"/>
      <c r="N238" s="6"/>
      <c r="O238" s="6"/>
    </row>
    <row r="239" spans="2:15" s="5" customFormat="1" x14ac:dyDescent="0.3">
      <c r="B239" s="6"/>
      <c r="C239" s="6"/>
      <c r="D239" s="6"/>
      <c r="E239" s="48"/>
      <c r="F239" s="6"/>
      <c r="H239" s="48"/>
      <c r="I239" s="70"/>
      <c r="J239" s="71"/>
      <c r="K239" s="71"/>
      <c r="L239" s="71"/>
      <c r="M239" s="6"/>
      <c r="N239" s="6"/>
      <c r="O239" s="6"/>
    </row>
    <row r="240" spans="2:15" s="5" customFormat="1" x14ac:dyDescent="0.3">
      <c r="B240" s="6"/>
      <c r="C240" s="6"/>
      <c r="D240" s="6"/>
      <c r="E240" s="48"/>
      <c r="F240" s="6"/>
      <c r="H240" s="48"/>
      <c r="I240" s="70"/>
      <c r="J240" s="71"/>
      <c r="K240" s="71"/>
      <c r="L240" s="71"/>
      <c r="M240" s="6"/>
      <c r="N240" s="6"/>
      <c r="O240" s="6"/>
    </row>
    <row r="241" spans="2:15" s="5" customFormat="1" x14ac:dyDescent="0.3">
      <c r="B241" s="6"/>
      <c r="C241" s="6"/>
      <c r="D241" s="6"/>
      <c r="E241" s="48"/>
      <c r="F241" s="6"/>
      <c r="H241" s="48"/>
      <c r="I241" s="70"/>
      <c r="J241" s="71"/>
      <c r="K241" s="71"/>
      <c r="L241" s="71"/>
      <c r="M241" s="6"/>
      <c r="N241" s="6"/>
      <c r="O241" s="6"/>
    </row>
    <row r="242" spans="2:15" s="5" customFormat="1" x14ac:dyDescent="0.3">
      <c r="B242" s="6"/>
      <c r="C242" s="6"/>
      <c r="D242" s="6"/>
      <c r="E242" s="48"/>
      <c r="F242" s="6"/>
      <c r="H242" s="48"/>
      <c r="I242" s="70"/>
      <c r="J242" s="71"/>
      <c r="K242" s="71"/>
      <c r="L242" s="71"/>
      <c r="M242" s="6"/>
      <c r="N242" s="6"/>
      <c r="O242" s="6"/>
    </row>
    <row r="243" spans="2:15" s="5" customFormat="1" x14ac:dyDescent="0.3">
      <c r="B243" s="6"/>
      <c r="C243" s="6"/>
      <c r="D243" s="6"/>
      <c r="E243" s="48"/>
      <c r="F243" s="6"/>
      <c r="H243" s="48"/>
      <c r="I243" s="70"/>
      <c r="J243" s="71"/>
      <c r="K243" s="71"/>
      <c r="L243" s="71"/>
      <c r="M243" s="6"/>
      <c r="N243" s="6"/>
      <c r="O243" s="6"/>
    </row>
    <row r="244" spans="2:15" s="5" customFormat="1" x14ac:dyDescent="0.3">
      <c r="B244" s="6"/>
      <c r="C244" s="6"/>
      <c r="D244" s="6"/>
      <c r="E244" s="48"/>
      <c r="F244" s="6"/>
      <c r="H244" s="48"/>
      <c r="I244" s="70"/>
      <c r="J244" s="71"/>
      <c r="K244" s="71"/>
      <c r="L244" s="71"/>
      <c r="M244" s="6"/>
      <c r="N244" s="6"/>
      <c r="O244" s="6"/>
    </row>
    <row r="245" spans="2:15" x14ac:dyDescent="0.3">
      <c r="E245" s="48"/>
      <c r="H245" s="48"/>
      <c r="I245" s="71"/>
      <c r="J245" s="71"/>
      <c r="K245" s="71"/>
      <c r="L245" s="71"/>
    </row>
    <row r="246" spans="2:15" x14ac:dyDescent="0.3">
      <c r="E246" s="48"/>
      <c r="H246" s="48"/>
      <c r="I246" s="71"/>
      <c r="J246" s="71"/>
      <c r="K246" s="71"/>
      <c r="L246" s="71"/>
    </row>
    <row r="247" spans="2:15" x14ac:dyDescent="0.3">
      <c r="E247" s="48"/>
      <c r="H247" s="48"/>
      <c r="I247" s="71"/>
      <c r="J247" s="71"/>
      <c r="K247" s="71"/>
      <c r="L247" s="71"/>
    </row>
    <row r="248" spans="2:15" x14ac:dyDescent="0.3">
      <c r="E248" s="48"/>
      <c r="H248" s="48"/>
      <c r="I248" s="71"/>
      <c r="J248" s="71"/>
      <c r="K248" s="71"/>
      <c r="L248" s="71"/>
    </row>
    <row r="249" spans="2:15" x14ac:dyDescent="0.3">
      <c r="E249" s="48"/>
      <c r="F249" s="50"/>
      <c r="G249" s="51"/>
      <c r="H249" s="66"/>
      <c r="I249" s="70"/>
      <c r="J249" s="70"/>
      <c r="K249" s="71"/>
      <c r="L249" s="71"/>
    </row>
    <row r="250" spans="2:15" x14ac:dyDescent="0.3">
      <c r="E250" s="48"/>
      <c r="F250" s="50"/>
      <c r="G250" s="51"/>
      <c r="H250" s="66"/>
      <c r="I250" s="70"/>
      <c r="J250" s="70"/>
      <c r="K250" s="71"/>
      <c r="L250" s="71"/>
    </row>
    <row r="251" spans="2:15" x14ac:dyDescent="0.3">
      <c r="E251" s="48"/>
      <c r="F251" s="50"/>
      <c r="G251" s="51"/>
      <c r="H251" s="66"/>
      <c r="I251" s="70"/>
      <c r="J251" s="70"/>
      <c r="K251" s="71"/>
      <c r="L251" s="71"/>
    </row>
    <row r="252" spans="2:15" x14ac:dyDescent="0.3">
      <c r="E252" s="48"/>
      <c r="F252" s="50"/>
      <c r="G252" s="51"/>
      <c r="H252" s="66"/>
      <c r="I252" s="70"/>
      <c r="J252" s="70"/>
      <c r="K252" s="71"/>
      <c r="L252" s="71"/>
    </row>
    <row r="253" spans="2:15" x14ac:dyDescent="0.3">
      <c r="E253" s="48"/>
      <c r="F253" s="50"/>
      <c r="G253" s="51"/>
      <c r="H253" s="66"/>
      <c r="I253" s="70"/>
      <c r="J253" s="70"/>
      <c r="K253" s="71"/>
      <c r="L253" s="71"/>
    </row>
    <row r="254" spans="2:15" x14ac:dyDescent="0.3">
      <c r="E254" s="48"/>
      <c r="F254" s="50"/>
      <c r="G254" s="51"/>
      <c r="H254" s="66"/>
      <c r="I254" s="70"/>
      <c r="J254" s="70"/>
      <c r="K254" s="71"/>
      <c r="L254" s="71"/>
    </row>
    <row r="255" spans="2:15" x14ac:dyDescent="0.3">
      <c r="E255" s="48"/>
      <c r="F255" s="50"/>
      <c r="G255" s="51"/>
      <c r="H255" s="66"/>
      <c r="I255" s="70"/>
      <c r="J255" s="70"/>
      <c r="K255" s="71"/>
      <c r="L255" s="71"/>
    </row>
    <row r="256" spans="2:15" x14ac:dyDescent="0.3">
      <c r="E256" s="48"/>
      <c r="F256" s="50"/>
      <c r="G256" s="51"/>
      <c r="H256" s="66"/>
      <c r="I256" s="70"/>
      <c r="J256" s="70"/>
      <c r="K256" s="71"/>
      <c r="L256" s="71"/>
    </row>
    <row r="257" spans="5:12" x14ac:dyDescent="0.3">
      <c r="E257" s="48"/>
      <c r="F257" s="50"/>
      <c r="G257" s="51"/>
      <c r="H257" s="66"/>
      <c r="I257" s="70"/>
      <c r="J257" s="70"/>
      <c r="K257" s="71"/>
      <c r="L257" s="71"/>
    </row>
    <row r="258" spans="5:12" x14ac:dyDescent="0.3">
      <c r="E258" s="48"/>
      <c r="F258" s="50"/>
      <c r="G258" s="51"/>
      <c r="H258" s="66"/>
      <c r="I258" s="70"/>
      <c r="J258" s="70"/>
      <c r="K258" s="71"/>
      <c r="L258" s="71"/>
    </row>
    <row r="259" spans="5:12" x14ac:dyDescent="0.3">
      <c r="E259" s="48"/>
      <c r="F259" s="50"/>
      <c r="G259" s="51"/>
      <c r="H259" s="66"/>
      <c r="I259" s="70"/>
      <c r="J259" s="70"/>
      <c r="K259" s="71"/>
      <c r="L259" s="71"/>
    </row>
    <row r="260" spans="5:12" x14ac:dyDescent="0.3">
      <c r="E260" s="48"/>
      <c r="F260" s="50"/>
      <c r="G260" s="51"/>
      <c r="H260" s="66"/>
      <c r="I260" s="70"/>
      <c r="J260" s="70"/>
      <c r="K260" s="71"/>
      <c r="L260" s="71"/>
    </row>
    <row r="261" spans="5:12" x14ac:dyDescent="0.3">
      <c r="E261" s="48"/>
      <c r="F261" s="50"/>
      <c r="G261" s="51"/>
      <c r="H261" s="66"/>
      <c r="I261" s="70"/>
      <c r="J261" s="70"/>
      <c r="K261" s="71"/>
      <c r="L261" s="71"/>
    </row>
    <row r="262" spans="5:12" x14ac:dyDescent="0.3">
      <c r="E262" s="48"/>
      <c r="F262" s="50"/>
      <c r="G262" s="51"/>
      <c r="H262" s="66"/>
      <c r="I262" s="70"/>
      <c r="J262" s="70"/>
      <c r="K262" s="71"/>
      <c r="L262" s="71"/>
    </row>
    <row r="263" spans="5:12" x14ac:dyDescent="0.3">
      <c r="E263" s="48"/>
      <c r="F263" s="50"/>
      <c r="G263" s="51"/>
      <c r="H263" s="66"/>
      <c r="I263" s="70"/>
      <c r="J263" s="70"/>
      <c r="K263" s="71"/>
      <c r="L263" s="71"/>
    </row>
    <row r="264" spans="5:12" x14ac:dyDescent="0.3">
      <c r="E264" s="48"/>
      <c r="F264" s="50"/>
      <c r="G264" s="51"/>
      <c r="H264" s="66"/>
      <c r="I264" s="70"/>
      <c r="J264" s="70"/>
      <c r="K264" s="71"/>
      <c r="L264" s="71"/>
    </row>
    <row r="265" spans="5:12" x14ac:dyDescent="0.3">
      <c r="E265" s="48"/>
      <c r="F265" s="50"/>
      <c r="G265" s="51"/>
      <c r="H265" s="66"/>
      <c r="I265" s="70"/>
      <c r="J265" s="70"/>
      <c r="K265" s="71"/>
      <c r="L265" s="71"/>
    </row>
    <row r="266" spans="5:12" x14ac:dyDescent="0.3">
      <c r="E266" s="48"/>
      <c r="F266" s="50"/>
      <c r="G266" s="51"/>
      <c r="H266" s="66"/>
      <c r="I266" s="70"/>
      <c r="J266" s="70"/>
      <c r="K266" s="71"/>
      <c r="L266" s="71"/>
    </row>
    <row r="267" spans="5:12" x14ac:dyDescent="0.3">
      <c r="E267" s="48"/>
      <c r="F267" s="50"/>
      <c r="G267" s="51"/>
      <c r="H267" s="66"/>
      <c r="I267" s="70"/>
      <c r="J267" s="70"/>
      <c r="K267" s="71"/>
      <c r="L267" s="71"/>
    </row>
    <row r="268" spans="5:12" x14ac:dyDescent="0.3">
      <c r="E268" s="48"/>
      <c r="F268" s="50"/>
      <c r="G268" s="51"/>
      <c r="H268" s="66"/>
      <c r="I268" s="70"/>
      <c r="J268" s="70"/>
      <c r="K268" s="71"/>
      <c r="L268" s="71"/>
    </row>
    <row r="269" spans="5:12" x14ac:dyDescent="0.3">
      <c r="E269" s="48"/>
      <c r="F269" s="50"/>
      <c r="G269" s="51"/>
      <c r="H269" s="66"/>
      <c r="I269" s="70"/>
      <c r="J269" s="70"/>
      <c r="K269" s="71"/>
      <c r="L269" s="71"/>
    </row>
    <row r="270" spans="5:12" x14ac:dyDescent="0.3">
      <c r="E270" s="48"/>
      <c r="F270" s="50"/>
      <c r="G270" s="51"/>
      <c r="H270" s="66"/>
      <c r="I270" s="70"/>
      <c r="J270" s="70"/>
      <c r="K270" s="71"/>
      <c r="L270" s="71"/>
    </row>
    <row r="271" spans="5:12" x14ac:dyDescent="0.3">
      <c r="E271" s="48"/>
      <c r="F271" s="50"/>
      <c r="G271" s="51"/>
      <c r="H271" s="66"/>
      <c r="I271" s="70"/>
      <c r="J271" s="70"/>
      <c r="K271" s="71"/>
      <c r="L271" s="71"/>
    </row>
    <row r="272" spans="5:12" x14ac:dyDescent="0.3">
      <c r="E272" s="48"/>
      <c r="F272" s="50"/>
      <c r="G272" s="51"/>
      <c r="H272" s="66"/>
      <c r="I272" s="70"/>
      <c r="J272" s="70"/>
      <c r="K272" s="71"/>
      <c r="L272" s="71"/>
    </row>
    <row r="273" spans="5:12" x14ac:dyDescent="0.3">
      <c r="E273" s="48"/>
      <c r="F273" s="50"/>
      <c r="G273" s="51"/>
      <c r="H273" s="66"/>
      <c r="I273" s="70"/>
      <c r="J273" s="70"/>
      <c r="K273" s="71"/>
      <c r="L273" s="71"/>
    </row>
    <row r="274" spans="5:12" x14ac:dyDescent="0.3">
      <c r="E274" s="48"/>
      <c r="F274" s="50"/>
      <c r="G274" s="51"/>
      <c r="H274" s="66"/>
      <c r="I274" s="70"/>
      <c r="J274" s="70"/>
      <c r="K274" s="71"/>
      <c r="L274" s="71"/>
    </row>
    <row r="275" spans="5:12" x14ac:dyDescent="0.3">
      <c r="E275" s="48"/>
      <c r="F275" s="50"/>
      <c r="G275" s="51"/>
      <c r="H275" s="66"/>
      <c r="I275" s="70"/>
      <c r="J275" s="70"/>
      <c r="K275" s="71"/>
      <c r="L275" s="71"/>
    </row>
    <row r="276" spans="5:12" x14ac:dyDescent="0.3">
      <c r="E276" s="48"/>
      <c r="F276" s="50"/>
      <c r="G276" s="51"/>
      <c r="H276" s="66"/>
      <c r="I276" s="70"/>
      <c r="J276" s="70"/>
      <c r="K276" s="71"/>
      <c r="L276" s="71"/>
    </row>
    <row r="277" spans="5:12" x14ac:dyDescent="0.3">
      <c r="E277" s="48"/>
      <c r="F277" s="50"/>
      <c r="G277" s="51"/>
      <c r="H277" s="66"/>
      <c r="I277" s="70"/>
      <c r="J277" s="70"/>
      <c r="K277" s="71"/>
      <c r="L277" s="71"/>
    </row>
    <row r="278" spans="5:12" x14ac:dyDescent="0.3">
      <c r="E278" s="48"/>
      <c r="F278" s="50"/>
      <c r="G278" s="51"/>
      <c r="H278" s="66"/>
      <c r="I278" s="70"/>
      <c r="J278" s="70"/>
      <c r="K278" s="71"/>
      <c r="L278" s="71"/>
    </row>
    <row r="279" spans="5:12" x14ac:dyDescent="0.3">
      <c r="E279" s="48"/>
      <c r="F279" s="50"/>
      <c r="G279" s="51"/>
      <c r="H279" s="66"/>
      <c r="I279" s="70"/>
      <c r="J279" s="70"/>
      <c r="K279" s="71"/>
      <c r="L279" s="71"/>
    </row>
    <row r="280" spans="5:12" x14ac:dyDescent="0.3">
      <c r="E280" s="48"/>
      <c r="F280" s="50"/>
      <c r="G280" s="51"/>
      <c r="H280" s="66"/>
      <c r="I280" s="70"/>
      <c r="J280" s="70"/>
      <c r="K280" s="71"/>
      <c r="L280" s="71"/>
    </row>
    <row r="281" spans="5:12" x14ac:dyDescent="0.3">
      <c r="E281" s="48"/>
      <c r="F281" s="50"/>
      <c r="G281" s="51"/>
      <c r="H281" s="66"/>
      <c r="I281" s="70"/>
      <c r="J281" s="70"/>
      <c r="K281" s="71"/>
      <c r="L281" s="71"/>
    </row>
    <row r="282" spans="5:12" x14ac:dyDescent="0.3">
      <c r="E282" s="48"/>
      <c r="F282" s="50"/>
      <c r="G282" s="51"/>
      <c r="H282" s="66"/>
      <c r="I282" s="70"/>
      <c r="J282" s="70"/>
      <c r="K282" s="71"/>
      <c r="L282" s="71"/>
    </row>
    <row r="283" spans="5:12" x14ac:dyDescent="0.3">
      <c r="E283" s="48"/>
      <c r="F283" s="50"/>
      <c r="G283" s="51"/>
      <c r="H283" s="66"/>
      <c r="I283" s="70"/>
      <c r="J283" s="70"/>
      <c r="K283" s="71"/>
      <c r="L283" s="71"/>
    </row>
    <row r="284" spans="5:12" x14ac:dyDescent="0.3">
      <c r="E284" s="48"/>
      <c r="F284" s="50"/>
      <c r="G284" s="51"/>
      <c r="H284" s="66"/>
      <c r="I284" s="70"/>
      <c r="J284" s="70"/>
      <c r="K284" s="71"/>
      <c r="L284" s="71"/>
    </row>
    <row r="285" spans="5:12" x14ac:dyDescent="0.3">
      <c r="E285" s="48"/>
      <c r="F285" s="50"/>
      <c r="G285" s="51"/>
      <c r="H285" s="66"/>
      <c r="I285" s="70"/>
      <c r="J285" s="70"/>
      <c r="K285" s="71"/>
      <c r="L285" s="71"/>
    </row>
    <row r="286" spans="5:12" x14ac:dyDescent="0.3">
      <c r="E286" s="48"/>
      <c r="F286" s="50"/>
      <c r="G286" s="51"/>
      <c r="H286" s="66"/>
      <c r="I286" s="70"/>
      <c r="J286" s="70"/>
      <c r="K286" s="71"/>
      <c r="L286" s="71"/>
    </row>
    <row r="287" spans="5:12" x14ac:dyDescent="0.3">
      <c r="E287" s="48"/>
      <c r="F287" s="50"/>
      <c r="G287" s="51"/>
      <c r="H287" s="66"/>
      <c r="I287" s="70"/>
      <c r="J287" s="70"/>
      <c r="K287" s="71"/>
      <c r="L287" s="71"/>
    </row>
    <row r="288" spans="5:12" x14ac:dyDescent="0.3">
      <c r="E288" s="48"/>
      <c r="F288" s="50"/>
      <c r="G288" s="51"/>
      <c r="H288" s="66"/>
      <c r="I288" s="70"/>
      <c r="J288" s="70"/>
      <c r="K288" s="71"/>
      <c r="L288" s="71"/>
    </row>
    <row r="289" spans="5:12" x14ac:dyDescent="0.3">
      <c r="E289" s="48"/>
      <c r="F289" s="50"/>
      <c r="G289" s="51"/>
      <c r="H289" s="66"/>
      <c r="I289" s="70"/>
      <c r="J289" s="70"/>
      <c r="K289" s="71"/>
      <c r="L289" s="71"/>
    </row>
    <row r="290" spans="5:12" x14ac:dyDescent="0.3">
      <c r="E290" s="48"/>
      <c r="F290" s="50"/>
      <c r="G290" s="51"/>
      <c r="H290" s="66"/>
      <c r="I290" s="70"/>
      <c r="J290" s="70"/>
      <c r="K290" s="71"/>
      <c r="L290" s="71"/>
    </row>
    <row r="291" spans="5:12" x14ac:dyDescent="0.3">
      <c r="E291" s="48"/>
      <c r="F291" s="50"/>
      <c r="G291" s="51"/>
      <c r="H291" s="66"/>
      <c r="I291" s="70"/>
      <c r="J291" s="70"/>
      <c r="K291" s="71"/>
      <c r="L291" s="71"/>
    </row>
    <row r="292" spans="5:12" x14ac:dyDescent="0.3">
      <c r="E292" s="48"/>
      <c r="F292" s="50"/>
      <c r="G292" s="51"/>
      <c r="H292" s="66"/>
      <c r="I292" s="70"/>
      <c r="J292" s="70"/>
      <c r="K292" s="71"/>
      <c r="L292" s="71"/>
    </row>
    <row r="293" spans="5:12" x14ac:dyDescent="0.3">
      <c r="E293" s="48"/>
      <c r="F293" s="50"/>
      <c r="G293" s="51"/>
      <c r="H293" s="66"/>
      <c r="I293" s="70"/>
      <c r="J293" s="70"/>
      <c r="K293" s="71"/>
      <c r="L293" s="71"/>
    </row>
    <row r="294" spans="5:12" x14ac:dyDescent="0.3">
      <c r="E294" s="48"/>
      <c r="F294" s="50"/>
      <c r="G294" s="51"/>
      <c r="H294" s="66"/>
      <c r="I294" s="70"/>
      <c r="J294" s="70"/>
      <c r="K294" s="71"/>
      <c r="L294" s="71"/>
    </row>
    <row r="295" spans="5:12" x14ac:dyDescent="0.3">
      <c r="E295" s="48"/>
      <c r="F295" s="50"/>
      <c r="G295" s="51"/>
      <c r="H295" s="66"/>
      <c r="I295" s="70"/>
      <c r="J295" s="70"/>
      <c r="K295" s="71"/>
      <c r="L295" s="71"/>
    </row>
    <row r="296" spans="5:12" x14ac:dyDescent="0.3">
      <c r="E296" s="48"/>
      <c r="F296" s="50"/>
      <c r="G296" s="51"/>
      <c r="H296" s="66"/>
      <c r="I296" s="70"/>
      <c r="J296" s="70"/>
      <c r="K296" s="71"/>
      <c r="L296" s="71"/>
    </row>
    <row r="297" spans="5:12" x14ac:dyDescent="0.3">
      <c r="E297" s="48"/>
      <c r="F297" s="50"/>
      <c r="G297" s="51"/>
      <c r="H297" s="66"/>
      <c r="I297" s="70"/>
      <c r="J297" s="70"/>
      <c r="K297" s="71"/>
      <c r="L297" s="71"/>
    </row>
    <row r="298" spans="5:12" x14ac:dyDescent="0.3">
      <c r="E298" s="48"/>
      <c r="F298" s="50"/>
      <c r="G298" s="51"/>
      <c r="H298" s="66"/>
      <c r="I298" s="70"/>
      <c r="J298" s="70"/>
      <c r="K298" s="71"/>
      <c r="L298" s="71"/>
    </row>
    <row r="299" spans="5:12" x14ac:dyDescent="0.3">
      <c r="E299" s="48"/>
      <c r="F299" s="50"/>
      <c r="G299" s="51"/>
      <c r="H299" s="66"/>
      <c r="I299" s="70"/>
      <c r="J299" s="70"/>
      <c r="K299" s="71"/>
      <c r="L299" s="71"/>
    </row>
    <row r="300" spans="5:12" x14ac:dyDescent="0.3">
      <c r="E300" s="48"/>
      <c r="F300" s="50"/>
      <c r="G300" s="51"/>
      <c r="H300" s="66"/>
      <c r="I300" s="70"/>
      <c r="J300" s="70"/>
      <c r="K300" s="71"/>
      <c r="L300" s="71"/>
    </row>
    <row r="301" spans="5:12" x14ac:dyDescent="0.3">
      <c r="E301" s="48"/>
      <c r="F301" s="50"/>
      <c r="G301" s="51"/>
      <c r="H301" s="66"/>
      <c r="I301" s="70"/>
      <c r="J301" s="70"/>
      <c r="K301" s="71"/>
      <c r="L301" s="71"/>
    </row>
    <row r="302" spans="5:12" x14ac:dyDescent="0.3">
      <c r="E302" s="48"/>
      <c r="F302" s="50"/>
      <c r="G302" s="51"/>
      <c r="H302" s="66"/>
      <c r="I302" s="70"/>
      <c r="J302" s="70"/>
      <c r="K302" s="71"/>
      <c r="L302" s="71"/>
    </row>
    <row r="303" spans="5:12" x14ac:dyDescent="0.3">
      <c r="E303" s="48"/>
      <c r="F303" s="50"/>
      <c r="G303" s="51"/>
      <c r="H303" s="66"/>
      <c r="I303" s="70"/>
      <c r="J303" s="70"/>
      <c r="K303" s="71"/>
      <c r="L303" s="71"/>
    </row>
    <row r="304" spans="5:12" x14ac:dyDescent="0.3">
      <c r="F304" s="50"/>
      <c r="G304" s="51"/>
      <c r="H304" s="66"/>
      <c r="I304" s="70"/>
      <c r="J304" s="70"/>
      <c r="K304" s="71"/>
      <c r="L304" s="71"/>
    </row>
    <row r="305" spans="6:12" x14ac:dyDescent="0.3">
      <c r="F305" s="50"/>
      <c r="G305" s="51"/>
      <c r="H305" s="66"/>
      <c r="I305" s="70"/>
      <c r="J305" s="70"/>
      <c r="K305" s="71"/>
      <c r="L305" s="71"/>
    </row>
    <row r="306" spans="6:12" x14ac:dyDescent="0.3">
      <c r="F306" s="50"/>
      <c r="G306" s="51"/>
      <c r="H306" s="66"/>
      <c r="I306" s="70"/>
      <c r="J306" s="70"/>
      <c r="K306" s="71"/>
      <c r="L306" s="71"/>
    </row>
    <row r="307" spans="6:12" x14ac:dyDescent="0.3">
      <c r="F307" s="50"/>
      <c r="G307" s="51"/>
      <c r="H307" s="66"/>
      <c r="I307" s="70"/>
      <c r="J307" s="70"/>
      <c r="K307" s="71"/>
      <c r="L307" s="71"/>
    </row>
    <row r="308" spans="6:12" x14ac:dyDescent="0.3">
      <c r="F308" s="50"/>
      <c r="G308" s="51"/>
      <c r="H308" s="66"/>
      <c r="I308" s="70"/>
      <c r="J308" s="70"/>
      <c r="K308" s="71"/>
      <c r="L308" s="71"/>
    </row>
    <row r="309" spans="6:12" x14ac:dyDescent="0.3">
      <c r="F309" s="50"/>
      <c r="H309" s="48"/>
      <c r="I309" s="71"/>
      <c r="J309" s="71"/>
      <c r="K309" s="71"/>
      <c r="L309" s="71"/>
    </row>
    <row r="310" spans="6:12" x14ac:dyDescent="0.3">
      <c r="F310" s="50"/>
      <c r="G310" s="51"/>
      <c r="H310" s="66"/>
      <c r="I310" s="70"/>
      <c r="J310" s="70"/>
      <c r="K310" s="71"/>
      <c r="L310" s="71"/>
    </row>
    <row r="311" spans="6:12" x14ac:dyDescent="0.3">
      <c r="F311" s="50"/>
      <c r="H311" s="48"/>
      <c r="I311" s="71"/>
      <c r="J311" s="71"/>
      <c r="K311" s="71"/>
      <c r="L311" s="71"/>
    </row>
    <row r="312" spans="6:12" x14ac:dyDescent="0.3">
      <c r="F312" s="50"/>
      <c r="H312" s="48"/>
      <c r="I312" s="71"/>
      <c r="J312" s="71"/>
      <c r="K312" s="71"/>
      <c r="L312" s="71"/>
    </row>
    <row r="313" spans="6:12" x14ac:dyDescent="0.3">
      <c r="F313" s="50"/>
      <c r="G313" s="51"/>
      <c r="H313" s="66"/>
      <c r="I313" s="70"/>
      <c r="J313" s="70"/>
      <c r="K313" s="71"/>
      <c r="L313" s="71"/>
    </row>
    <row r="314" spans="6:12" x14ac:dyDescent="0.3">
      <c r="F314" s="50"/>
      <c r="G314" s="51"/>
      <c r="H314" s="66"/>
      <c r="I314" s="70"/>
      <c r="J314" s="70"/>
      <c r="K314" s="71"/>
      <c r="L314" s="71"/>
    </row>
    <row r="315" spans="6:12" x14ac:dyDescent="0.3">
      <c r="F315" s="50"/>
      <c r="G315" s="51"/>
      <c r="H315" s="66"/>
      <c r="I315" s="70"/>
      <c r="J315" s="70"/>
      <c r="K315" s="71"/>
      <c r="L315" s="71"/>
    </row>
    <row r="316" spans="6:12" x14ac:dyDescent="0.3">
      <c r="F316" s="50"/>
      <c r="G316" s="51"/>
      <c r="H316" s="66"/>
      <c r="I316" s="70"/>
      <c r="J316" s="70"/>
      <c r="K316" s="71"/>
      <c r="L316" s="71"/>
    </row>
    <row r="317" spans="6:12" x14ac:dyDescent="0.3">
      <c r="F317" s="50"/>
      <c r="G317" s="51"/>
      <c r="H317" s="66"/>
      <c r="I317" s="70"/>
      <c r="J317" s="70"/>
      <c r="K317" s="71"/>
      <c r="L317" s="71"/>
    </row>
    <row r="318" spans="6:12" x14ac:dyDescent="0.3">
      <c r="F318" s="50"/>
      <c r="G318" s="51"/>
      <c r="H318" s="66"/>
      <c r="I318" s="70"/>
      <c r="J318" s="70"/>
      <c r="K318" s="71"/>
      <c r="L318" s="71"/>
    </row>
    <row r="319" spans="6:12" x14ac:dyDescent="0.3">
      <c r="F319" s="50"/>
      <c r="G319" s="51"/>
      <c r="H319" s="66"/>
      <c r="I319" s="70"/>
      <c r="J319" s="70"/>
      <c r="K319" s="71"/>
      <c r="L319" s="71"/>
    </row>
    <row r="320" spans="6:12" x14ac:dyDescent="0.3">
      <c r="F320" s="50"/>
      <c r="G320" s="51"/>
      <c r="H320" s="66"/>
      <c r="I320" s="70"/>
      <c r="J320" s="70"/>
      <c r="K320" s="71"/>
      <c r="L320" s="71"/>
    </row>
    <row r="321" spans="6:12" x14ac:dyDescent="0.3">
      <c r="F321" s="50"/>
      <c r="G321" s="51"/>
      <c r="H321" s="66"/>
      <c r="I321" s="70"/>
      <c r="J321" s="70"/>
      <c r="K321" s="71"/>
      <c r="L321" s="71"/>
    </row>
    <row r="322" spans="6:12" x14ac:dyDescent="0.3">
      <c r="F322" s="50"/>
      <c r="G322" s="51"/>
      <c r="H322" s="66"/>
      <c r="I322" s="70"/>
      <c r="J322" s="70"/>
      <c r="K322" s="71"/>
      <c r="L322" s="71"/>
    </row>
    <row r="323" spans="6:12" x14ac:dyDescent="0.3">
      <c r="F323" s="50"/>
      <c r="G323" s="51"/>
      <c r="H323" s="66"/>
      <c r="I323" s="70"/>
      <c r="J323" s="70"/>
      <c r="K323" s="71"/>
      <c r="L323" s="71"/>
    </row>
    <row r="324" spans="6:12" x14ac:dyDescent="0.3">
      <c r="F324" s="50"/>
      <c r="G324" s="51"/>
      <c r="H324" s="66"/>
      <c r="I324" s="70"/>
      <c r="J324" s="70"/>
      <c r="K324" s="71"/>
      <c r="L324" s="71"/>
    </row>
    <row r="325" spans="6:12" x14ac:dyDescent="0.3">
      <c r="F325" s="50"/>
      <c r="G325" s="51"/>
      <c r="H325" s="66"/>
      <c r="I325" s="70"/>
      <c r="J325" s="70"/>
      <c r="K325" s="71"/>
      <c r="L325" s="71"/>
    </row>
    <row r="326" spans="6:12" x14ac:dyDescent="0.3">
      <c r="F326" s="50"/>
      <c r="G326" s="51"/>
      <c r="H326" s="66"/>
      <c r="I326" s="70"/>
      <c r="J326" s="70"/>
      <c r="K326" s="71"/>
      <c r="L326" s="71"/>
    </row>
    <row r="327" spans="6:12" x14ac:dyDescent="0.3">
      <c r="F327" s="50"/>
      <c r="G327" s="51"/>
      <c r="H327" s="66"/>
      <c r="I327" s="70"/>
      <c r="J327" s="70"/>
      <c r="K327" s="71"/>
      <c r="L327" s="71"/>
    </row>
    <row r="328" spans="6:12" x14ac:dyDescent="0.3">
      <c r="F328" s="50"/>
      <c r="G328" s="51"/>
      <c r="H328" s="66"/>
      <c r="I328" s="70"/>
      <c r="J328" s="70"/>
      <c r="K328" s="71"/>
      <c r="L328" s="71"/>
    </row>
    <row r="329" spans="6:12" x14ac:dyDescent="0.3">
      <c r="F329" s="50"/>
      <c r="G329" s="51"/>
      <c r="H329" s="66"/>
      <c r="I329" s="70"/>
      <c r="J329" s="70"/>
      <c r="K329" s="71"/>
      <c r="L329" s="71"/>
    </row>
    <row r="330" spans="6:12" x14ac:dyDescent="0.3">
      <c r="F330" s="50"/>
      <c r="G330" s="51"/>
      <c r="H330" s="66"/>
      <c r="I330" s="70"/>
      <c r="J330" s="70"/>
      <c r="K330" s="71"/>
      <c r="L330" s="71"/>
    </row>
    <row r="331" spans="6:12" x14ac:dyDescent="0.3">
      <c r="F331" s="50"/>
      <c r="G331" s="51"/>
      <c r="H331" s="66"/>
      <c r="I331" s="70"/>
      <c r="J331" s="70"/>
      <c r="K331" s="71"/>
      <c r="L331" s="71"/>
    </row>
    <row r="332" spans="6:12" x14ac:dyDescent="0.3">
      <c r="F332" s="50"/>
      <c r="G332" s="51"/>
      <c r="H332" s="66"/>
      <c r="I332" s="70"/>
      <c r="J332" s="70"/>
      <c r="K332" s="71"/>
      <c r="L332" s="71"/>
    </row>
    <row r="333" spans="6:12" x14ac:dyDescent="0.3">
      <c r="F333" s="50"/>
      <c r="G333" s="51"/>
      <c r="H333" s="66"/>
      <c r="I333" s="70"/>
      <c r="J333" s="70"/>
      <c r="K333" s="71"/>
      <c r="L333" s="71"/>
    </row>
    <row r="334" spans="6:12" x14ac:dyDescent="0.3">
      <c r="F334" s="50"/>
      <c r="G334" s="51"/>
      <c r="H334" s="66"/>
      <c r="I334" s="70"/>
      <c r="J334" s="70"/>
      <c r="K334" s="71"/>
      <c r="L334" s="71"/>
    </row>
    <row r="335" spans="6:12" x14ac:dyDescent="0.3">
      <c r="F335" s="50"/>
      <c r="G335" s="51"/>
      <c r="H335" s="66"/>
      <c r="I335" s="70"/>
      <c r="J335" s="70"/>
      <c r="K335" s="71"/>
      <c r="L335" s="71"/>
    </row>
    <row r="336" spans="6:12" x14ac:dyDescent="0.3">
      <c r="F336" s="50"/>
      <c r="G336" s="51"/>
      <c r="H336" s="66"/>
      <c r="I336" s="70"/>
      <c r="J336" s="70"/>
      <c r="K336" s="71"/>
      <c r="L336" s="71"/>
    </row>
    <row r="337" spans="6:12" x14ac:dyDescent="0.3">
      <c r="F337" s="50"/>
      <c r="G337" s="51"/>
      <c r="H337" s="66"/>
      <c r="I337" s="70"/>
      <c r="J337" s="70"/>
      <c r="K337" s="71"/>
      <c r="L337" s="71"/>
    </row>
    <row r="338" spans="6:12" x14ac:dyDescent="0.3">
      <c r="F338" s="50"/>
      <c r="G338" s="51"/>
      <c r="H338" s="66"/>
      <c r="I338" s="70"/>
      <c r="J338" s="70"/>
      <c r="K338" s="71"/>
      <c r="L338" s="71"/>
    </row>
    <row r="339" spans="6:12" x14ac:dyDescent="0.3">
      <c r="F339" s="50"/>
      <c r="G339" s="51"/>
      <c r="H339" s="66"/>
      <c r="I339" s="70"/>
      <c r="J339" s="70"/>
      <c r="K339" s="71"/>
      <c r="L339" s="71"/>
    </row>
    <row r="340" spans="6:12" x14ac:dyDescent="0.3">
      <c r="F340" s="50"/>
      <c r="G340" s="51"/>
      <c r="H340" s="66"/>
      <c r="I340" s="70"/>
      <c r="J340" s="70"/>
      <c r="K340" s="71"/>
      <c r="L340" s="71"/>
    </row>
    <row r="341" spans="6:12" x14ac:dyDescent="0.3">
      <c r="F341" s="50"/>
      <c r="G341" s="51"/>
      <c r="H341" s="66"/>
      <c r="I341" s="70"/>
      <c r="J341" s="70"/>
      <c r="K341" s="71"/>
      <c r="L341" s="71"/>
    </row>
    <row r="342" spans="6:12" x14ac:dyDescent="0.3">
      <c r="F342" s="50"/>
      <c r="G342" s="51"/>
      <c r="H342" s="66"/>
      <c r="I342" s="70"/>
      <c r="J342" s="70"/>
      <c r="K342" s="71"/>
      <c r="L342" s="71"/>
    </row>
    <row r="343" spans="6:12" x14ac:dyDescent="0.3">
      <c r="F343" s="50"/>
      <c r="G343" s="51"/>
      <c r="H343" s="66"/>
      <c r="I343" s="70"/>
      <c r="J343" s="70"/>
      <c r="K343" s="71"/>
      <c r="L343" s="71"/>
    </row>
    <row r="344" spans="6:12" x14ac:dyDescent="0.3">
      <c r="F344" s="50"/>
      <c r="G344" s="51"/>
      <c r="H344" s="66"/>
      <c r="I344" s="70"/>
      <c r="J344" s="70"/>
      <c r="K344" s="71"/>
      <c r="L344" s="71"/>
    </row>
    <row r="345" spans="6:12" x14ac:dyDescent="0.3">
      <c r="F345" s="50"/>
      <c r="G345" s="51"/>
      <c r="H345" s="66"/>
      <c r="I345" s="70"/>
      <c r="J345" s="70"/>
      <c r="K345" s="71"/>
      <c r="L345" s="71"/>
    </row>
    <row r="346" spans="6:12" x14ac:dyDescent="0.3">
      <c r="F346" s="50"/>
      <c r="G346" s="51"/>
      <c r="H346" s="66"/>
      <c r="I346" s="70"/>
      <c r="J346" s="70"/>
      <c r="K346" s="71"/>
      <c r="L346" s="71"/>
    </row>
    <row r="347" spans="6:12" x14ac:dyDescent="0.3">
      <c r="F347" s="50"/>
      <c r="G347" s="51"/>
      <c r="H347" s="66"/>
      <c r="I347" s="70"/>
      <c r="J347" s="70"/>
      <c r="K347" s="71"/>
      <c r="L347" s="71"/>
    </row>
    <row r="348" spans="6:12" x14ac:dyDescent="0.3">
      <c r="F348" s="50"/>
      <c r="G348" s="51"/>
      <c r="H348" s="66"/>
      <c r="I348" s="70"/>
      <c r="J348" s="70"/>
      <c r="K348" s="71"/>
      <c r="L348" s="71"/>
    </row>
    <row r="349" spans="6:12" x14ac:dyDescent="0.3">
      <c r="F349" s="50"/>
      <c r="G349" s="51"/>
      <c r="H349" s="66"/>
      <c r="I349" s="70"/>
      <c r="J349" s="70"/>
      <c r="K349" s="71"/>
      <c r="L349" s="71"/>
    </row>
    <row r="350" spans="6:12" x14ac:dyDescent="0.3">
      <c r="F350" s="50"/>
      <c r="G350" s="51"/>
      <c r="H350" s="66"/>
      <c r="I350" s="70"/>
      <c r="J350" s="70"/>
      <c r="K350" s="71"/>
      <c r="L350" s="71"/>
    </row>
    <row r="351" spans="6:12" x14ac:dyDescent="0.3">
      <c r="F351" s="50"/>
      <c r="G351" s="51"/>
      <c r="H351" s="66"/>
      <c r="I351" s="70"/>
      <c r="J351" s="70"/>
      <c r="K351" s="71"/>
      <c r="L351" s="71"/>
    </row>
    <row r="352" spans="6:12" x14ac:dyDescent="0.3">
      <c r="F352" s="50"/>
      <c r="G352" s="51"/>
      <c r="H352" s="66"/>
      <c r="I352" s="70"/>
      <c r="J352" s="70"/>
      <c r="K352" s="71"/>
      <c r="L352" s="71"/>
    </row>
    <row r="353" spans="6:12" x14ac:dyDescent="0.3">
      <c r="F353" s="50"/>
      <c r="G353" s="51"/>
      <c r="H353" s="66"/>
      <c r="I353" s="70"/>
      <c r="J353" s="70"/>
      <c r="K353" s="71"/>
      <c r="L353" s="71"/>
    </row>
    <row r="354" spans="6:12" x14ac:dyDescent="0.3">
      <c r="F354" s="50"/>
      <c r="G354" s="51"/>
      <c r="H354" s="66"/>
      <c r="I354" s="70"/>
      <c r="J354" s="70"/>
      <c r="K354" s="71"/>
      <c r="L354" s="71"/>
    </row>
    <row r="355" spans="6:12" x14ac:dyDescent="0.3">
      <c r="F355" s="50"/>
      <c r="G355" s="51"/>
      <c r="H355" s="66"/>
      <c r="I355" s="70"/>
      <c r="J355" s="70"/>
      <c r="K355" s="71"/>
      <c r="L355" s="71"/>
    </row>
    <row r="356" spans="6:12" x14ac:dyDescent="0.3">
      <c r="H356" s="48"/>
      <c r="I356" s="71"/>
      <c r="J356" s="71"/>
      <c r="K356" s="71"/>
      <c r="L356" s="71"/>
    </row>
    <row r="357" spans="6:12" x14ac:dyDescent="0.3">
      <c r="H357" s="48"/>
      <c r="I357" s="71"/>
      <c r="J357" s="71"/>
      <c r="K357" s="71"/>
      <c r="L357" s="71"/>
    </row>
    <row r="358" spans="6:12" x14ac:dyDescent="0.3">
      <c r="H358" s="48"/>
      <c r="I358" s="71"/>
      <c r="J358" s="71"/>
      <c r="K358" s="71"/>
      <c r="L358" s="71"/>
    </row>
    <row r="359" spans="6:12" x14ac:dyDescent="0.3">
      <c r="F359" s="52"/>
      <c r="G359" s="51"/>
      <c r="H359" s="66"/>
      <c r="I359" s="70"/>
      <c r="J359" s="70"/>
      <c r="K359" s="71"/>
      <c r="L359" s="71"/>
    </row>
    <row r="360" spans="6:12" x14ac:dyDescent="0.3">
      <c r="F360" s="52"/>
      <c r="G360" s="51"/>
      <c r="H360" s="66"/>
      <c r="I360" s="70"/>
      <c r="J360" s="70"/>
      <c r="K360" s="71"/>
      <c r="L360" s="71"/>
    </row>
    <row r="361" spans="6:12" x14ac:dyDescent="0.3">
      <c r="F361" s="52"/>
      <c r="G361" s="51"/>
      <c r="H361" s="66"/>
      <c r="I361" s="70"/>
      <c r="J361" s="70"/>
      <c r="K361" s="71"/>
      <c r="L361" s="71"/>
    </row>
    <row r="362" spans="6:12" x14ac:dyDescent="0.3">
      <c r="F362" s="52"/>
      <c r="G362" s="51"/>
      <c r="H362" s="66"/>
      <c r="I362" s="70"/>
      <c r="J362" s="70"/>
      <c r="K362" s="71"/>
      <c r="L362" s="71"/>
    </row>
    <row r="363" spans="6:12" x14ac:dyDescent="0.3">
      <c r="F363" s="52"/>
      <c r="G363" s="51"/>
      <c r="H363" s="66"/>
      <c r="I363" s="70"/>
      <c r="J363" s="70"/>
      <c r="K363" s="71"/>
      <c r="L363" s="71"/>
    </row>
    <row r="364" spans="6:12" x14ac:dyDescent="0.3">
      <c r="F364" s="52"/>
      <c r="G364" s="51"/>
      <c r="H364" s="66"/>
      <c r="I364" s="70"/>
      <c r="J364" s="70"/>
      <c r="K364" s="71"/>
      <c r="L364" s="71"/>
    </row>
    <row r="365" spans="6:12" x14ac:dyDescent="0.3">
      <c r="F365" s="52"/>
      <c r="G365" s="51"/>
      <c r="H365" s="66"/>
      <c r="I365" s="70"/>
      <c r="J365" s="70"/>
      <c r="K365" s="71"/>
      <c r="L365" s="71"/>
    </row>
    <row r="366" spans="6:12" x14ac:dyDescent="0.3">
      <c r="F366" s="52"/>
      <c r="G366" s="51"/>
      <c r="H366" s="66"/>
      <c r="I366" s="70"/>
      <c r="J366" s="70"/>
      <c r="K366" s="71"/>
      <c r="L366" s="71"/>
    </row>
    <row r="367" spans="6:12" x14ac:dyDescent="0.3">
      <c r="F367" s="52"/>
      <c r="G367" s="51"/>
      <c r="H367" s="66"/>
      <c r="I367" s="70"/>
      <c r="J367" s="70"/>
      <c r="K367" s="71"/>
      <c r="L367" s="71"/>
    </row>
    <row r="368" spans="6:12" x14ac:dyDescent="0.3">
      <c r="F368" s="52"/>
      <c r="G368" s="51"/>
      <c r="H368" s="66"/>
      <c r="I368" s="70"/>
      <c r="J368" s="70"/>
      <c r="K368" s="71"/>
      <c r="L368" s="71"/>
    </row>
    <row r="369" spans="6:12" x14ac:dyDescent="0.3">
      <c r="F369" s="52"/>
      <c r="G369" s="51"/>
      <c r="H369" s="66"/>
      <c r="I369" s="70"/>
      <c r="J369" s="70"/>
      <c r="K369" s="71"/>
      <c r="L369" s="71"/>
    </row>
    <row r="370" spans="6:12" x14ac:dyDescent="0.3">
      <c r="F370" s="52"/>
      <c r="G370" s="51"/>
      <c r="H370" s="66"/>
      <c r="I370" s="70"/>
      <c r="J370" s="70"/>
      <c r="K370" s="71"/>
      <c r="L370" s="71"/>
    </row>
    <row r="371" spans="6:12" x14ac:dyDescent="0.3">
      <c r="F371" s="52"/>
      <c r="G371" s="51"/>
      <c r="H371" s="66"/>
      <c r="I371" s="70"/>
      <c r="J371" s="70"/>
      <c r="K371" s="71"/>
      <c r="L371" s="71"/>
    </row>
    <row r="372" spans="6:12" x14ac:dyDescent="0.3">
      <c r="F372" s="52"/>
      <c r="G372" s="51"/>
      <c r="H372" s="66"/>
      <c r="I372" s="70"/>
      <c r="J372" s="70"/>
      <c r="K372" s="71"/>
      <c r="L372" s="71"/>
    </row>
    <row r="373" spans="6:12" x14ac:dyDescent="0.3">
      <c r="F373" s="52"/>
      <c r="G373" s="51"/>
      <c r="H373" s="66"/>
      <c r="I373" s="70"/>
      <c r="J373" s="70"/>
      <c r="K373" s="71"/>
      <c r="L373" s="71"/>
    </row>
    <row r="374" spans="6:12" x14ac:dyDescent="0.3">
      <c r="F374" s="52"/>
      <c r="G374" s="51"/>
      <c r="H374" s="66"/>
      <c r="I374" s="70"/>
      <c r="J374" s="70"/>
      <c r="K374" s="71"/>
      <c r="L374" s="71"/>
    </row>
    <row r="375" spans="6:12" x14ac:dyDescent="0.3">
      <c r="F375" s="52"/>
      <c r="G375" s="51"/>
      <c r="H375" s="66"/>
      <c r="I375" s="70"/>
      <c r="J375" s="70"/>
      <c r="K375" s="71"/>
      <c r="L375" s="71"/>
    </row>
    <row r="376" spans="6:12" x14ac:dyDescent="0.3">
      <c r="F376" s="52"/>
      <c r="G376" s="51"/>
      <c r="H376" s="66"/>
      <c r="I376" s="70"/>
      <c r="J376" s="70"/>
      <c r="K376" s="71"/>
      <c r="L376" s="71"/>
    </row>
    <row r="377" spans="6:12" x14ac:dyDescent="0.3">
      <c r="F377" s="52"/>
      <c r="G377" s="51"/>
      <c r="H377" s="66"/>
      <c r="I377" s="70"/>
      <c r="J377" s="70"/>
      <c r="K377" s="71"/>
      <c r="L377" s="71"/>
    </row>
    <row r="378" spans="6:12" x14ac:dyDescent="0.3">
      <c r="F378" s="52"/>
      <c r="G378" s="51"/>
      <c r="H378" s="66"/>
      <c r="I378" s="70"/>
      <c r="J378" s="70"/>
      <c r="K378" s="71"/>
      <c r="L378" s="71"/>
    </row>
    <row r="379" spans="6:12" x14ac:dyDescent="0.3">
      <c r="F379" s="52"/>
      <c r="G379" s="51"/>
      <c r="H379" s="66"/>
      <c r="I379" s="70"/>
      <c r="J379" s="70"/>
      <c r="K379" s="71"/>
      <c r="L379" s="71"/>
    </row>
    <row r="380" spans="6:12" x14ac:dyDescent="0.3">
      <c r="F380" s="52"/>
      <c r="G380" s="51"/>
      <c r="H380" s="66"/>
      <c r="I380" s="70"/>
      <c r="J380" s="70"/>
      <c r="K380" s="71"/>
      <c r="L380" s="71"/>
    </row>
    <row r="381" spans="6:12" x14ac:dyDescent="0.3">
      <c r="F381" s="52"/>
      <c r="G381" s="51"/>
      <c r="H381" s="66"/>
      <c r="I381" s="70"/>
      <c r="J381" s="70"/>
      <c r="K381" s="71"/>
      <c r="L381" s="71"/>
    </row>
    <row r="382" spans="6:12" x14ac:dyDescent="0.3">
      <c r="F382" s="52"/>
      <c r="G382" s="51"/>
      <c r="H382" s="66"/>
      <c r="I382" s="70"/>
      <c r="J382" s="70"/>
      <c r="K382" s="71"/>
      <c r="L382" s="71"/>
    </row>
    <row r="383" spans="6:12" x14ac:dyDescent="0.3">
      <c r="F383" s="52"/>
      <c r="G383" s="51"/>
      <c r="H383" s="66"/>
      <c r="I383" s="70"/>
      <c r="J383" s="70"/>
      <c r="K383" s="71"/>
      <c r="L383" s="71"/>
    </row>
    <row r="384" spans="6:12" x14ac:dyDescent="0.3">
      <c r="F384" s="52"/>
      <c r="G384" s="51"/>
      <c r="H384" s="66"/>
      <c r="I384" s="70"/>
      <c r="J384" s="70"/>
      <c r="K384" s="71"/>
      <c r="L384" s="71"/>
    </row>
    <row r="385" spans="6:12" x14ac:dyDescent="0.3">
      <c r="F385" s="52"/>
      <c r="G385" s="51"/>
      <c r="H385" s="66"/>
      <c r="I385" s="70"/>
      <c r="J385" s="70"/>
      <c r="K385" s="71"/>
      <c r="L385" s="71"/>
    </row>
    <row r="386" spans="6:12" x14ac:dyDescent="0.3">
      <c r="F386" s="52"/>
      <c r="G386" s="51"/>
      <c r="H386" s="66"/>
      <c r="I386" s="70"/>
      <c r="J386" s="70"/>
      <c r="K386" s="71"/>
      <c r="L386" s="71"/>
    </row>
    <row r="387" spans="6:12" x14ac:dyDescent="0.3">
      <c r="F387" s="52"/>
      <c r="G387" s="51"/>
      <c r="H387" s="66"/>
      <c r="I387" s="70"/>
      <c r="J387" s="70"/>
      <c r="K387" s="71"/>
      <c r="L387" s="71"/>
    </row>
    <row r="388" spans="6:12" x14ac:dyDescent="0.3">
      <c r="F388" s="52"/>
      <c r="G388" s="51"/>
      <c r="H388" s="66"/>
      <c r="I388" s="70"/>
      <c r="J388" s="70"/>
      <c r="K388" s="71"/>
      <c r="L388" s="71"/>
    </row>
    <row r="389" spans="6:12" x14ac:dyDescent="0.3">
      <c r="F389" s="52"/>
      <c r="G389" s="51"/>
      <c r="H389" s="66"/>
      <c r="I389" s="70"/>
      <c r="J389" s="70"/>
      <c r="K389" s="71"/>
      <c r="L389" s="71"/>
    </row>
    <row r="390" spans="6:12" x14ac:dyDescent="0.3">
      <c r="F390" s="52"/>
      <c r="G390" s="51"/>
      <c r="H390" s="66"/>
      <c r="I390" s="70"/>
      <c r="J390" s="70"/>
      <c r="K390" s="71"/>
      <c r="L390" s="71"/>
    </row>
    <row r="391" spans="6:12" x14ac:dyDescent="0.3">
      <c r="F391" s="52"/>
      <c r="G391" s="51"/>
      <c r="H391" s="66"/>
      <c r="I391" s="70"/>
      <c r="J391" s="70"/>
      <c r="K391" s="71"/>
      <c r="L391" s="71"/>
    </row>
    <row r="392" spans="6:12" x14ac:dyDescent="0.3">
      <c r="F392" s="52"/>
      <c r="G392" s="51"/>
      <c r="H392" s="66"/>
      <c r="I392" s="70"/>
      <c r="J392" s="70"/>
      <c r="K392" s="71"/>
      <c r="L392" s="71"/>
    </row>
    <row r="393" spans="6:12" x14ac:dyDescent="0.3">
      <c r="F393" s="52"/>
      <c r="G393" s="51"/>
      <c r="H393" s="66"/>
      <c r="I393" s="70"/>
      <c r="J393" s="70"/>
      <c r="K393" s="71"/>
      <c r="L393" s="71"/>
    </row>
    <row r="394" spans="6:12" x14ac:dyDescent="0.3">
      <c r="F394" s="52"/>
      <c r="G394" s="51"/>
      <c r="H394" s="66"/>
      <c r="I394" s="70"/>
      <c r="J394" s="70"/>
      <c r="K394" s="71"/>
      <c r="L394" s="71"/>
    </row>
    <row r="395" spans="6:12" x14ac:dyDescent="0.3">
      <c r="F395" s="52"/>
      <c r="G395" s="51"/>
      <c r="H395" s="66"/>
      <c r="I395" s="70"/>
      <c r="J395" s="70"/>
      <c r="K395" s="71"/>
      <c r="L395" s="71"/>
    </row>
    <row r="396" spans="6:12" x14ac:dyDescent="0.3">
      <c r="F396" s="52"/>
      <c r="G396" s="51"/>
      <c r="H396" s="66"/>
      <c r="I396" s="70"/>
      <c r="J396" s="70"/>
      <c r="K396" s="71"/>
      <c r="L396" s="71"/>
    </row>
    <row r="397" spans="6:12" x14ac:dyDescent="0.3">
      <c r="F397" s="52"/>
      <c r="G397" s="51"/>
      <c r="H397" s="66"/>
      <c r="I397" s="70"/>
      <c r="J397" s="70"/>
      <c r="K397" s="71"/>
      <c r="L397" s="71"/>
    </row>
    <row r="398" spans="6:12" x14ac:dyDescent="0.3">
      <c r="F398" s="52"/>
      <c r="G398" s="51"/>
      <c r="H398" s="66"/>
      <c r="I398" s="70"/>
      <c r="J398" s="70"/>
      <c r="K398" s="71"/>
      <c r="L398" s="71"/>
    </row>
    <row r="399" spans="6:12" x14ac:dyDescent="0.3">
      <c r="F399" s="52"/>
      <c r="G399" s="51"/>
      <c r="H399" s="66"/>
      <c r="I399" s="70"/>
      <c r="J399" s="70"/>
      <c r="K399" s="71"/>
      <c r="L399" s="71"/>
    </row>
    <row r="400" spans="6:12" x14ac:dyDescent="0.3">
      <c r="F400" s="52"/>
      <c r="G400" s="51"/>
      <c r="H400" s="66"/>
      <c r="I400" s="70"/>
      <c r="J400" s="70"/>
      <c r="K400" s="71"/>
      <c r="L400" s="71"/>
    </row>
    <row r="401" spans="6:12" x14ac:dyDescent="0.3">
      <c r="F401" s="52"/>
      <c r="G401" s="51"/>
      <c r="H401" s="66"/>
      <c r="I401" s="70"/>
      <c r="J401" s="70"/>
      <c r="K401" s="71"/>
      <c r="L401" s="71"/>
    </row>
    <row r="402" spans="6:12" x14ac:dyDescent="0.3">
      <c r="F402" s="52"/>
      <c r="G402" s="51"/>
      <c r="H402" s="66"/>
      <c r="I402" s="70"/>
      <c r="J402" s="70"/>
      <c r="K402" s="71"/>
      <c r="L402" s="71"/>
    </row>
    <row r="403" spans="6:12" x14ac:dyDescent="0.3">
      <c r="F403" s="52"/>
      <c r="G403" s="51"/>
      <c r="H403" s="66"/>
      <c r="I403" s="70"/>
      <c r="J403" s="70"/>
      <c r="K403" s="71"/>
      <c r="L403" s="71"/>
    </row>
    <row r="404" spans="6:12" x14ac:dyDescent="0.3">
      <c r="F404" s="52"/>
      <c r="G404" s="51"/>
      <c r="H404" s="66"/>
      <c r="I404" s="70"/>
      <c r="J404" s="70"/>
      <c r="K404" s="71"/>
      <c r="L404" s="71"/>
    </row>
    <row r="405" spans="6:12" x14ac:dyDescent="0.3">
      <c r="F405" s="52"/>
      <c r="G405" s="51"/>
      <c r="H405" s="66"/>
      <c r="I405" s="70"/>
      <c r="J405" s="70"/>
      <c r="K405" s="71"/>
      <c r="L405" s="71"/>
    </row>
    <row r="406" spans="6:12" x14ac:dyDescent="0.3">
      <c r="F406" s="52"/>
      <c r="G406" s="51"/>
      <c r="H406" s="66"/>
      <c r="I406" s="70"/>
      <c r="J406" s="70"/>
      <c r="K406" s="71"/>
      <c r="L406" s="71"/>
    </row>
    <row r="407" spans="6:12" x14ac:dyDescent="0.3">
      <c r="F407" s="52"/>
      <c r="G407" s="51"/>
      <c r="H407" s="66"/>
      <c r="I407" s="70"/>
      <c r="J407" s="70"/>
      <c r="K407" s="71"/>
      <c r="L407" s="71"/>
    </row>
    <row r="408" spans="6:12" x14ac:dyDescent="0.3">
      <c r="F408" s="52"/>
      <c r="G408" s="51"/>
      <c r="H408" s="66"/>
      <c r="I408" s="70"/>
      <c r="J408" s="70"/>
      <c r="K408" s="71"/>
      <c r="L408" s="71"/>
    </row>
    <row r="409" spans="6:12" x14ac:dyDescent="0.3">
      <c r="F409" s="52"/>
      <c r="G409" s="51"/>
      <c r="H409" s="66"/>
      <c r="I409" s="70"/>
      <c r="J409" s="70"/>
      <c r="K409" s="71"/>
      <c r="L409" s="71"/>
    </row>
    <row r="410" spans="6:12" x14ac:dyDescent="0.3">
      <c r="F410" s="52"/>
      <c r="G410" s="51"/>
      <c r="H410" s="66"/>
      <c r="I410" s="70"/>
      <c r="J410" s="70"/>
      <c r="K410" s="71"/>
      <c r="L410" s="71"/>
    </row>
    <row r="411" spans="6:12" x14ac:dyDescent="0.3">
      <c r="F411" s="52"/>
      <c r="G411" s="51"/>
      <c r="H411" s="66"/>
      <c r="I411" s="70"/>
      <c r="J411" s="70"/>
      <c r="K411" s="71"/>
      <c r="L411" s="71"/>
    </row>
    <row r="412" spans="6:12" x14ac:dyDescent="0.3">
      <c r="F412" s="52"/>
      <c r="G412" s="51"/>
      <c r="H412" s="66"/>
      <c r="I412" s="70"/>
      <c r="J412" s="70"/>
      <c r="K412" s="71"/>
      <c r="L412" s="71"/>
    </row>
    <row r="413" spans="6:12" x14ac:dyDescent="0.3">
      <c r="F413" s="52"/>
      <c r="G413" s="51"/>
      <c r="H413" s="66"/>
      <c r="I413" s="70"/>
      <c r="J413" s="70"/>
      <c r="K413" s="71"/>
      <c r="L413" s="71"/>
    </row>
    <row r="414" spans="6:12" x14ac:dyDescent="0.3">
      <c r="F414" s="52"/>
      <c r="G414" s="51"/>
      <c r="H414" s="66"/>
      <c r="I414" s="70"/>
      <c r="J414" s="70"/>
      <c r="K414" s="71"/>
      <c r="L414" s="71"/>
    </row>
    <row r="415" spans="6:12" x14ac:dyDescent="0.3">
      <c r="F415" s="52"/>
      <c r="G415" s="51"/>
      <c r="H415" s="66"/>
      <c r="I415" s="70"/>
      <c r="J415" s="70"/>
      <c r="K415" s="71"/>
      <c r="L415" s="71"/>
    </row>
    <row r="416" spans="6:12" x14ac:dyDescent="0.3">
      <c r="F416" s="52"/>
      <c r="G416" s="51"/>
      <c r="H416" s="66"/>
      <c r="I416" s="70"/>
      <c r="J416" s="70"/>
      <c r="K416" s="71"/>
      <c r="L416" s="71"/>
    </row>
    <row r="417" spans="6:12" x14ac:dyDescent="0.3">
      <c r="F417" s="52"/>
      <c r="G417" s="51"/>
      <c r="H417" s="66"/>
      <c r="I417" s="70"/>
      <c r="J417" s="70"/>
      <c r="K417" s="71"/>
      <c r="L417" s="71"/>
    </row>
    <row r="418" spans="6:12" x14ac:dyDescent="0.3">
      <c r="F418" s="52"/>
      <c r="G418" s="51"/>
      <c r="H418" s="66"/>
      <c r="I418" s="70"/>
      <c r="J418" s="70"/>
      <c r="K418" s="71"/>
      <c r="L418" s="71"/>
    </row>
    <row r="419" spans="6:12" x14ac:dyDescent="0.3">
      <c r="F419" s="52"/>
      <c r="G419" s="51"/>
      <c r="H419" s="66"/>
      <c r="I419" s="70"/>
      <c r="J419" s="70"/>
      <c r="K419" s="71"/>
      <c r="L419" s="71"/>
    </row>
    <row r="420" spans="6:12" x14ac:dyDescent="0.3">
      <c r="F420" s="52"/>
      <c r="G420" s="51"/>
      <c r="H420" s="66"/>
      <c r="I420" s="70"/>
      <c r="J420" s="70"/>
      <c r="K420" s="71"/>
      <c r="L420" s="71"/>
    </row>
    <row r="421" spans="6:12" x14ac:dyDescent="0.3">
      <c r="F421" s="52"/>
      <c r="G421" s="51"/>
      <c r="H421" s="66"/>
      <c r="I421" s="70"/>
      <c r="J421" s="70"/>
      <c r="K421" s="71"/>
      <c r="L421" s="71"/>
    </row>
    <row r="422" spans="6:12" x14ac:dyDescent="0.3">
      <c r="F422" s="52"/>
      <c r="G422" s="51"/>
      <c r="H422" s="66"/>
      <c r="I422" s="70"/>
      <c r="J422" s="70"/>
      <c r="K422" s="71"/>
      <c r="L422" s="71"/>
    </row>
    <row r="423" spans="6:12" x14ac:dyDescent="0.3">
      <c r="F423" s="52"/>
      <c r="G423" s="51"/>
      <c r="H423" s="66"/>
      <c r="I423" s="70"/>
      <c r="J423" s="70"/>
      <c r="K423" s="71"/>
      <c r="L423" s="71"/>
    </row>
    <row r="424" spans="6:12" x14ac:dyDescent="0.3">
      <c r="F424" s="52"/>
      <c r="G424" s="51"/>
      <c r="H424" s="66"/>
      <c r="I424" s="70"/>
      <c r="J424" s="70"/>
      <c r="K424" s="71"/>
      <c r="L424" s="71"/>
    </row>
    <row r="425" spans="6:12" x14ac:dyDescent="0.3">
      <c r="F425" s="52"/>
      <c r="G425" s="51"/>
      <c r="H425" s="66"/>
      <c r="I425" s="70"/>
      <c r="J425" s="70"/>
      <c r="K425" s="71"/>
      <c r="L425" s="71"/>
    </row>
    <row r="426" spans="6:12" x14ac:dyDescent="0.3">
      <c r="F426" s="52"/>
      <c r="G426" s="51"/>
      <c r="H426" s="66"/>
      <c r="I426" s="70"/>
      <c r="J426" s="70"/>
      <c r="K426" s="71"/>
      <c r="L426" s="71"/>
    </row>
    <row r="427" spans="6:12" x14ac:dyDescent="0.3">
      <c r="F427" s="52"/>
      <c r="G427" s="51"/>
      <c r="H427" s="66"/>
      <c r="I427" s="70"/>
      <c r="J427" s="70"/>
      <c r="K427" s="71"/>
      <c r="L427" s="71"/>
    </row>
    <row r="428" spans="6:12" x14ac:dyDescent="0.3">
      <c r="F428" s="52"/>
      <c r="G428" s="51"/>
      <c r="H428" s="66"/>
      <c r="I428" s="70"/>
      <c r="J428" s="70"/>
      <c r="K428" s="71"/>
      <c r="L428" s="71"/>
    </row>
    <row r="429" spans="6:12" x14ac:dyDescent="0.3">
      <c r="F429" s="52"/>
      <c r="G429" s="51"/>
      <c r="H429" s="66"/>
      <c r="I429" s="70"/>
      <c r="J429" s="70"/>
      <c r="K429" s="71"/>
      <c r="L429" s="71"/>
    </row>
    <row r="430" spans="6:12" x14ac:dyDescent="0.3">
      <c r="F430" s="52"/>
      <c r="G430" s="51"/>
      <c r="H430" s="66"/>
      <c r="I430" s="70"/>
      <c r="J430" s="70"/>
      <c r="K430" s="71"/>
      <c r="L430" s="71"/>
    </row>
    <row r="431" spans="6:12" x14ac:dyDescent="0.3">
      <c r="F431" s="52"/>
      <c r="G431" s="51"/>
      <c r="H431" s="66"/>
      <c r="I431" s="70"/>
      <c r="J431" s="70"/>
      <c r="K431" s="71"/>
      <c r="L431" s="71"/>
    </row>
    <row r="432" spans="6:12" x14ac:dyDescent="0.3">
      <c r="F432" s="52"/>
      <c r="G432" s="51"/>
      <c r="H432" s="66"/>
      <c r="I432" s="70"/>
      <c r="J432" s="70"/>
      <c r="K432" s="71"/>
      <c r="L432" s="71"/>
    </row>
    <row r="433" spans="6:12" x14ac:dyDescent="0.3">
      <c r="F433" s="52"/>
      <c r="G433" s="51"/>
      <c r="H433" s="66"/>
      <c r="I433" s="70"/>
      <c r="J433" s="70"/>
      <c r="K433" s="71"/>
      <c r="L433" s="71"/>
    </row>
    <row r="434" spans="6:12" x14ac:dyDescent="0.3">
      <c r="F434" s="52"/>
      <c r="G434" s="51"/>
      <c r="H434" s="66"/>
      <c r="I434" s="70"/>
      <c r="J434" s="70"/>
      <c r="K434" s="71"/>
      <c r="L434" s="71"/>
    </row>
    <row r="435" spans="6:12" x14ac:dyDescent="0.3">
      <c r="F435" s="52"/>
      <c r="G435" s="51"/>
      <c r="H435" s="66"/>
      <c r="I435" s="70"/>
      <c r="J435" s="70"/>
      <c r="K435" s="71"/>
      <c r="L435" s="71"/>
    </row>
    <row r="436" spans="6:12" x14ac:dyDescent="0.3">
      <c r="F436" s="52"/>
      <c r="G436" s="51"/>
      <c r="H436" s="66"/>
      <c r="I436" s="70"/>
      <c r="J436" s="70"/>
      <c r="K436" s="71"/>
      <c r="L436" s="71"/>
    </row>
    <row r="437" spans="6:12" x14ac:dyDescent="0.3">
      <c r="F437" s="52"/>
      <c r="G437" s="51"/>
      <c r="H437" s="66"/>
      <c r="I437" s="70"/>
      <c r="J437" s="70"/>
      <c r="K437" s="71"/>
      <c r="L437" s="71"/>
    </row>
    <row r="438" spans="6:12" x14ac:dyDescent="0.3">
      <c r="F438" s="52"/>
      <c r="G438" s="51"/>
      <c r="H438" s="66"/>
      <c r="I438" s="70"/>
      <c r="J438" s="70"/>
      <c r="K438" s="71"/>
      <c r="L438" s="71"/>
    </row>
    <row r="439" spans="6:12" x14ac:dyDescent="0.3">
      <c r="F439" s="52"/>
      <c r="G439" s="51"/>
      <c r="H439" s="66"/>
      <c r="I439" s="70"/>
      <c r="J439" s="70"/>
      <c r="K439" s="71"/>
      <c r="L439" s="71"/>
    </row>
    <row r="440" spans="6:12" x14ac:dyDescent="0.3">
      <c r="F440" s="52"/>
      <c r="G440" s="51"/>
      <c r="H440" s="66"/>
      <c r="I440" s="70"/>
      <c r="J440" s="70"/>
      <c r="K440" s="71"/>
      <c r="L440" s="71"/>
    </row>
    <row r="441" spans="6:12" x14ac:dyDescent="0.3">
      <c r="F441" s="52"/>
      <c r="G441" s="51"/>
      <c r="H441" s="66"/>
      <c r="I441" s="70"/>
      <c r="J441" s="70"/>
      <c r="K441" s="71"/>
      <c r="L441" s="71"/>
    </row>
    <row r="442" spans="6:12" x14ac:dyDescent="0.3">
      <c r="F442" s="52"/>
      <c r="G442" s="51"/>
      <c r="H442" s="66"/>
      <c r="I442" s="70"/>
      <c r="J442" s="70"/>
      <c r="K442" s="71"/>
      <c r="L442" s="71"/>
    </row>
    <row r="443" spans="6:12" x14ac:dyDescent="0.3">
      <c r="F443" s="52"/>
      <c r="G443" s="51"/>
      <c r="H443" s="66"/>
      <c r="I443" s="70"/>
      <c r="J443" s="70"/>
      <c r="K443" s="71"/>
      <c r="L443" s="71"/>
    </row>
    <row r="444" spans="6:12" x14ac:dyDescent="0.3">
      <c r="F444" s="52"/>
      <c r="G444" s="51"/>
      <c r="H444" s="66"/>
      <c r="I444" s="70"/>
      <c r="J444" s="70"/>
      <c r="K444" s="71"/>
      <c r="L444" s="71"/>
    </row>
    <row r="445" spans="6:12" x14ac:dyDescent="0.3">
      <c r="F445" s="52"/>
      <c r="G445" s="51"/>
      <c r="H445" s="66"/>
      <c r="I445" s="70"/>
      <c r="J445" s="70"/>
      <c r="K445" s="71"/>
      <c r="L445" s="71"/>
    </row>
    <row r="446" spans="6:12" x14ac:dyDescent="0.3">
      <c r="F446" s="52"/>
      <c r="G446" s="51"/>
      <c r="H446" s="66"/>
      <c r="I446" s="70"/>
      <c r="J446" s="70"/>
      <c r="K446" s="71"/>
      <c r="L446" s="71"/>
    </row>
    <row r="447" spans="6:12" x14ac:dyDescent="0.3">
      <c r="F447" s="52"/>
      <c r="G447" s="51"/>
      <c r="H447" s="66"/>
      <c r="I447" s="70"/>
      <c r="J447" s="70"/>
      <c r="K447" s="71"/>
      <c r="L447" s="71"/>
    </row>
    <row r="448" spans="6:12" x14ac:dyDescent="0.3">
      <c r="F448" s="52"/>
      <c r="G448" s="51"/>
      <c r="H448" s="66"/>
      <c r="I448" s="70"/>
      <c r="J448" s="70"/>
      <c r="K448" s="71"/>
      <c r="L448" s="71"/>
    </row>
    <row r="449" spans="6:12" x14ac:dyDescent="0.3">
      <c r="F449" s="52"/>
      <c r="G449" s="51"/>
      <c r="H449" s="66"/>
      <c r="I449" s="70"/>
      <c r="J449" s="70"/>
      <c r="K449" s="71"/>
      <c r="L449" s="71"/>
    </row>
    <row r="450" spans="6:12" x14ac:dyDescent="0.3">
      <c r="F450" s="52"/>
      <c r="G450" s="51"/>
      <c r="H450" s="66"/>
      <c r="I450" s="70"/>
      <c r="J450" s="70"/>
      <c r="K450" s="71"/>
      <c r="L450" s="71"/>
    </row>
    <row r="451" spans="6:12" x14ac:dyDescent="0.3">
      <c r="F451" s="52"/>
      <c r="G451" s="51"/>
      <c r="H451" s="66"/>
      <c r="I451" s="70"/>
      <c r="J451" s="70"/>
      <c r="K451" s="71"/>
      <c r="L451" s="71"/>
    </row>
    <row r="452" spans="6:12" x14ac:dyDescent="0.3">
      <c r="F452" s="52"/>
      <c r="G452" s="51"/>
      <c r="H452" s="66"/>
      <c r="I452" s="70"/>
      <c r="J452" s="70"/>
      <c r="K452" s="71"/>
      <c r="L452" s="71"/>
    </row>
    <row r="453" spans="6:12" x14ac:dyDescent="0.3">
      <c r="F453" s="52"/>
      <c r="G453" s="51"/>
      <c r="H453" s="66"/>
      <c r="I453" s="70"/>
      <c r="J453" s="70"/>
      <c r="K453" s="71"/>
      <c r="L453" s="71"/>
    </row>
    <row r="454" spans="6:12" x14ac:dyDescent="0.3">
      <c r="F454" s="52"/>
      <c r="G454" s="51"/>
      <c r="H454" s="66"/>
      <c r="I454" s="70"/>
      <c r="J454" s="70"/>
      <c r="K454" s="71"/>
      <c r="L454" s="71"/>
    </row>
    <row r="455" spans="6:12" x14ac:dyDescent="0.3">
      <c r="F455" s="52"/>
      <c r="G455" s="51"/>
      <c r="H455" s="66"/>
      <c r="I455" s="70"/>
      <c r="J455" s="70"/>
      <c r="K455" s="71"/>
      <c r="L455" s="71"/>
    </row>
    <row r="456" spans="6:12" x14ac:dyDescent="0.3">
      <c r="F456" s="52"/>
      <c r="G456" s="51"/>
      <c r="H456" s="66"/>
      <c r="I456" s="70"/>
      <c r="J456" s="70"/>
      <c r="K456" s="71"/>
      <c r="L456" s="71"/>
    </row>
    <row r="457" spans="6:12" x14ac:dyDescent="0.3">
      <c r="F457" s="52"/>
      <c r="G457" s="51"/>
      <c r="H457" s="66"/>
      <c r="I457" s="70"/>
      <c r="J457" s="70"/>
      <c r="K457" s="71"/>
      <c r="L457" s="71"/>
    </row>
    <row r="458" spans="6:12" x14ac:dyDescent="0.3">
      <c r="F458" s="52"/>
      <c r="G458" s="51"/>
      <c r="H458" s="66"/>
      <c r="I458" s="70"/>
      <c r="J458" s="70"/>
      <c r="K458" s="71"/>
      <c r="L458" s="71"/>
    </row>
    <row r="459" spans="6:12" x14ac:dyDescent="0.3">
      <c r="F459" s="52"/>
      <c r="G459" s="51"/>
      <c r="H459" s="66"/>
      <c r="I459" s="70"/>
      <c r="J459" s="70"/>
      <c r="K459" s="71"/>
      <c r="L459" s="71"/>
    </row>
    <row r="460" spans="6:12" x14ac:dyDescent="0.3">
      <c r="F460" s="52"/>
      <c r="G460" s="51"/>
      <c r="H460" s="66"/>
      <c r="I460" s="70"/>
      <c r="J460" s="70"/>
      <c r="K460" s="71"/>
      <c r="L460" s="71"/>
    </row>
    <row r="461" spans="6:12" x14ac:dyDescent="0.3">
      <c r="F461" s="52"/>
      <c r="G461" s="51"/>
      <c r="H461" s="66"/>
      <c r="I461" s="70"/>
      <c r="J461" s="70"/>
      <c r="K461" s="71"/>
      <c r="L461" s="71"/>
    </row>
    <row r="462" spans="6:12" x14ac:dyDescent="0.3">
      <c r="F462" s="52"/>
      <c r="G462" s="51"/>
      <c r="H462" s="66"/>
      <c r="I462" s="70"/>
      <c r="J462" s="70"/>
      <c r="K462" s="71"/>
      <c r="L462" s="71"/>
    </row>
    <row r="463" spans="6:12" x14ac:dyDescent="0.3">
      <c r="F463" s="52"/>
      <c r="G463" s="51"/>
      <c r="H463" s="66"/>
      <c r="I463" s="70"/>
      <c r="J463" s="70"/>
      <c r="K463" s="71"/>
      <c r="L463" s="71"/>
    </row>
    <row r="464" spans="6:12" x14ac:dyDescent="0.3">
      <c r="F464" s="52"/>
      <c r="G464" s="51"/>
      <c r="H464" s="66"/>
      <c r="I464" s="70"/>
      <c r="J464" s="70"/>
      <c r="K464" s="71"/>
      <c r="L464" s="71"/>
    </row>
    <row r="465" spans="6:12" x14ac:dyDescent="0.3">
      <c r="F465" s="52"/>
      <c r="G465" s="51"/>
      <c r="H465" s="66"/>
      <c r="I465" s="70"/>
      <c r="J465" s="70"/>
      <c r="K465" s="71"/>
      <c r="L465" s="71"/>
    </row>
    <row r="466" spans="6:12" x14ac:dyDescent="0.3">
      <c r="F466" s="52"/>
      <c r="G466" s="51"/>
      <c r="H466" s="66"/>
      <c r="I466" s="70"/>
      <c r="J466" s="70"/>
      <c r="K466" s="71"/>
      <c r="L466" s="71"/>
    </row>
    <row r="467" spans="6:12" x14ac:dyDescent="0.3">
      <c r="F467" s="52"/>
      <c r="G467" s="51"/>
      <c r="H467" s="66"/>
      <c r="I467" s="70"/>
      <c r="J467" s="70"/>
      <c r="K467" s="71"/>
      <c r="L467" s="71"/>
    </row>
    <row r="468" spans="6:12" x14ac:dyDescent="0.3">
      <c r="F468" s="52"/>
      <c r="G468" s="51"/>
      <c r="H468" s="66"/>
      <c r="I468" s="70"/>
      <c r="J468" s="70"/>
      <c r="K468" s="71"/>
      <c r="L468" s="71"/>
    </row>
    <row r="469" spans="6:12" x14ac:dyDescent="0.3">
      <c r="F469" s="52"/>
      <c r="G469" s="51"/>
      <c r="H469" s="66"/>
      <c r="I469" s="70"/>
      <c r="J469" s="70"/>
      <c r="K469" s="71"/>
      <c r="L469" s="71"/>
    </row>
    <row r="470" spans="6:12" x14ac:dyDescent="0.3">
      <c r="F470" s="52"/>
      <c r="G470" s="51"/>
      <c r="H470" s="66"/>
      <c r="I470" s="70"/>
      <c r="J470" s="70"/>
      <c r="K470" s="71"/>
      <c r="L470" s="71"/>
    </row>
    <row r="471" spans="6:12" x14ac:dyDescent="0.3">
      <c r="F471" s="52"/>
      <c r="G471" s="51"/>
      <c r="H471" s="66"/>
      <c r="I471" s="70"/>
      <c r="J471" s="70"/>
      <c r="K471" s="71"/>
      <c r="L471" s="71"/>
    </row>
    <row r="472" spans="6:12" x14ac:dyDescent="0.3">
      <c r="F472" s="52"/>
      <c r="G472" s="51"/>
      <c r="H472" s="66"/>
      <c r="I472" s="70"/>
      <c r="J472" s="70"/>
      <c r="K472" s="71"/>
      <c r="L472" s="71"/>
    </row>
    <row r="473" spans="6:12" x14ac:dyDescent="0.3">
      <c r="F473" s="52"/>
      <c r="G473" s="51"/>
      <c r="H473" s="66"/>
      <c r="I473" s="70"/>
      <c r="J473" s="70"/>
      <c r="K473" s="71"/>
      <c r="L473" s="71"/>
    </row>
    <row r="474" spans="6:12" x14ac:dyDescent="0.3">
      <c r="F474" s="52"/>
      <c r="G474" s="51"/>
      <c r="H474" s="66"/>
      <c r="I474" s="70"/>
      <c r="J474" s="70"/>
      <c r="K474" s="71"/>
      <c r="L474" s="71"/>
    </row>
    <row r="475" spans="6:12" x14ac:dyDescent="0.3">
      <c r="F475" s="52"/>
      <c r="G475" s="51"/>
      <c r="H475" s="66"/>
      <c r="I475" s="70"/>
      <c r="J475" s="70"/>
      <c r="K475" s="71"/>
      <c r="L475" s="71"/>
    </row>
    <row r="476" spans="6:12" x14ac:dyDescent="0.3">
      <c r="F476" s="52"/>
      <c r="G476" s="51"/>
      <c r="H476" s="66"/>
      <c r="I476" s="70"/>
      <c r="J476" s="70"/>
      <c r="K476" s="71"/>
      <c r="L476" s="71"/>
    </row>
    <row r="477" spans="6:12" x14ac:dyDescent="0.3">
      <c r="F477" s="52"/>
      <c r="G477" s="51"/>
      <c r="H477" s="66"/>
      <c r="I477" s="70"/>
      <c r="J477" s="70"/>
      <c r="K477" s="71"/>
      <c r="L477" s="71"/>
    </row>
    <row r="478" spans="6:12" x14ac:dyDescent="0.3">
      <c r="F478" s="52"/>
      <c r="G478" s="51"/>
      <c r="H478" s="66"/>
      <c r="I478" s="70"/>
      <c r="J478" s="70"/>
      <c r="K478" s="71"/>
      <c r="L478" s="71"/>
    </row>
    <row r="479" spans="6:12" x14ac:dyDescent="0.3">
      <c r="F479" s="52"/>
      <c r="G479" s="51"/>
      <c r="H479" s="66"/>
      <c r="I479" s="70"/>
      <c r="J479" s="70"/>
      <c r="K479" s="71"/>
      <c r="L479" s="71"/>
    </row>
    <row r="480" spans="6:12" x14ac:dyDescent="0.3">
      <c r="F480" s="52"/>
      <c r="G480" s="51"/>
      <c r="H480" s="66"/>
      <c r="I480" s="70"/>
      <c r="J480" s="70"/>
      <c r="K480" s="71"/>
      <c r="L480" s="71"/>
    </row>
    <row r="481" spans="6:12" x14ac:dyDescent="0.3">
      <c r="F481" s="52"/>
      <c r="G481" s="51"/>
      <c r="H481" s="66"/>
      <c r="I481" s="70"/>
      <c r="J481" s="70"/>
      <c r="K481" s="71"/>
      <c r="L481" s="71"/>
    </row>
    <row r="482" spans="6:12" x14ac:dyDescent="0.3">
      <c r="F482" s="52"/>
      <c r="G482" s="51"/>
      <c r="H482" s="66"/>
      <c r="I482" s="70"/>
      <c r="J482" s="70"/>
      <c r="K482" s="71"/>
      <c r="L482" s="71"/>
    </row>
    <row r="483" spans="6:12" x14ac:dyDescent="0.3">
      <c r="F483" s="52"/>
      <c r="G483" s="51"/>
      <c r="H483" s="66"/>
      <c r="I483" s="70"/>
      <c r="J483" s="70"/>
      <c r="K483" s="71"/>
      <c r="L483" s="71"/>
    </row>
    <row r="484" spans="6:12" x14ac:dyDescent="0.3">
      <c r="F484" s="52"/>
      <c r="G484" s="51"/>
      <c r="H484" s="66"/>
      <c r="I484" s="70"/>
      <c r="J484" s="70"/>
      <c r="K484" s="71"/>
      <c r="L484" s="71"/>
    </row>
    <row r="485" spans="6:12" x14ac:dyDescent="0.3">
      <c r="F485" s="52"/>
      <c r="G485" s="51"/>
      <c r="H485" s="66"/>
      <c r="I485" s="70"/>
      <c r="J485" s="70"/>
      <c r="K485" s="71"/>
      <c r="L485" s="71"/>
    </row>
    <row r="486" spans="6:12" x14ac:dyDescent="0.3">
      <c r="F486" s="52"/>
      <c r="G486" s="51"/>
      <c r="H486" s="66"/>
      <c r="I486" s="70"/>
      <c r="J486" s="70"/>
      <c r="K486" s="71"/>
      <c r="L486" s="71"/>
    </row>
    <row r="487" spans="6:12" x14ac:dyDescent="0.3">
      <c r="F487" s="52"/>
      <c r="G487" s="51"/>
      <c r="H487" s="66"/>
      <c r="I487" s="70"/>
      <c r="J487" s="70"/>
      <c r="K487" s="71"/>
      <c r="L487" s="71"/>
    </row>
    <row r="488" spans="6:12" x14ac:dyDescent="0.3">
      <c r="F488" s="52"/>
      <c r="G488" s="51"/>
      <c r="H488" s="66"/>
      <c r="I488" s="70"/>
      <c r="J488" s="70"/>
      <c r="K488" s="71"/>
      <c r="L488" s="71"/>
    </row>
    <row r="489" spans="6:12" x14ac:dyDescent="0.3">
      <c r="F489" s="52"/>
      <c r="G489" s="51"/>
      <c r="H489" s="66"/>
      <c r="I489" s="70"/>
      <c r="J489" s="70"/>
      <c r="K489" s="71"/>
      <c r="L489" s="71"/>
    </row>
    <row r="490" spans="6:12" x14ac:dyDescent="0.3">
      <c r="F490" s="52"/>
      <c r="G490" s="51"/>
      <c r="H490" s="66"/>
      <c r="I490" s="70"/>
      <c r="J490" s="70"/>
      <c r="K490" s="71"/>
      <c r="L490" s="71"/>
    </row>
    <row r="491" spans="6:12" x14ac:dyDescent="0.3">
      <c r="F491" s="52"/>
      <c r="G491" s="51"/>
      <c r="H491" s="66"/>
      <c r="I491" s="70"/>
      <c r="J491" s="70"/>
      <c r="K491" s="71"/>
      <c r="L491" s="71"/>
    </row>
    <row r="492" spans="6:12" x14ac:dyDescent="0.3">
      <c r="F492" s="52"/>
      <c r="G492" s="51"/>
      <c r="H492" s="66"/>
      <c r="I492" s="70"/>
      <c r="J492" s="70"/>
      <c r="K492" s="71"/>
      <c r="L492" s="71"/>
    </row>
    <row r="493" spans="6:12" x14ac:dyDescent="0.3">
      <c r="F493" s="52"/>
      <c r="G493" s="51"/>
      <c r="H493" s="66"/>
      <c r="I493" s="70"/>
      <c r="J493" s="70"/>
      <c r="K493" s="71"/>
      <c r="L493" s="71"/>
    </row>
    <row r="494" spans="6:12" x14ac:dyDescent="0.3">
      <c r="F494" s="52"/>
      <c r="G494" s="51"/>
      <c r="H494" s="66"/>
      <c r="I494" s="70"/>
      <c r="J494" s="70"/>
      <c r="K494" s="71"/>
      <c r="L494" s="71"/>
    </row>
    <row r="495" spans="6:12" x14ac:dyDescent="0.3">
      <c r="F495" s="52"/>
      <c r="G495" s="51"/>
      <c r="H495" s="66"/>
      <c r="I495" s="70"/>
      <c r="J495" s="70"/>
      <c r="K495" s="71"/>
      <c r="L495" s="71"/>
    </row>
    <row r="496" spans="6:12" x14ac:dyDescent="0.3">
      <c r="F496" s="52"/>
      <c r="G496" s="51"/>
      <c r="H496" s="66"/>
      <c r="I496" s="70"/>
      <c r="J496" s="70"/>
      <c r="K496" s="71"/>
      <c r="L496" s="71"/>
    </row>
    <row r="497" spans="6:12" x14ac:dyDescent="0.3">
      <c r="F497" s="52"/>
      <c r="G497" s="51"/>
      <c r="H497" s="66"/>
      <c r="I497" s="70"/>
      <c r="J497" s="70"/>
      <c r="K497" s="71"/>
      <c r="L497" s="71"/>
    </row>
    <row r="498" spans="6:12" x14ac:dyDescent="0.3">
      <c r="F498" s="52"/>
      <c r="G498" s="51"/>
      <c r="H498" s="66"/>
      <c r="I498" s="70"/>
      <c r="J498" s="70"/>
      <c r="K498" s="71"/>
      <c r="L498" s="71"/>
    </row>
    <row r="499" spans="6:12" x14ac:dyDescent="0.3">
      <c r="F499" s="52"/>
      <c r="G499" s="51"/>
      <c r="H499" s="66"/>
      <c r="I499" s="70"/>
      <c r="J499" s="70"/>
      <c r="K499" s="71"/>
      <c r="L499" s="71"/>
    </row>
    <row r="500" spans="6:12" x14ac:dyDescent="0.3">
      <c r="F500" s="52"/>
      <c r="G500" s="51"/>
      <c r="H500" s="66"/>
      <c r="I500" s="70"/>
      <c r="J500" s="70"/>
      <c r="K500" s="71"/>
      <c r="L500" s="71"/>
    </row>
    <row r="501" spans="6:12" x14ac:dyDescent="0.3">
      <c r="F501" s="52"/>
      <c r="G501" s="51"/>
      <c r="H501" s="66"/>
      <c r="I501" s="70"/>
      <c r="J501" s="70"/>
      <c r="K501" s="71"/>
      <c r="L501" s="71"/>
    </row>
    <row r="502" spans="6:12" x14ac:dyDescent="0.3">
      <c r="F502" s="52"/>
      <c r="G502" s="51"/>
      <c r="H502" s="66"/>
      <c r="I502" s="70"/>
      <c r="J502" s="70"/>
      <c r="K502" s="71"/>
      <c r="L502" s="71"/>
    </row>
    <row r="503" spans="6:12" x14ac:dyDescent="0.3">
      <c r="F503" s="52"/>
      <c r="G503" s="51"/>
      <c r="H503" s="66"/>
      <c r="I503" s="70"/>
      <c r="J503" s="70"/>
      <c r="K503" s="71"/>
      <c r="L503" s="71"/>
    </row>
    <row r="504" spans="6:12" x14ac:dyDescent="0.3">
      <c r="F504" s="52"/>
      <c r="G504" s="51"/>
      <c r="H504" s="66"/>
      <c r="I504" s="70"/>
      <c r="J504" s="70"/>
      <c r="K504" s="71"/>
      <c r="L504" s="71"/>
    </row>
    <row r="505" spans="6:12" x14ac:dyDescent="0.3">
      <c r="F505" s="52"/>
      <c r="G505" s="51"/>
      <c r="H505" s="66"/>
      <c r="I505" s="70"/>
      <c r="J505" s="70"/>
      <c r="K505" s="71"/>
      <c r="L505" s="71"/>
    </row>
    <row r="506" spans="6:12" x14ac:dyDescent="0.3">
      <c r="F506" s="52"/>
      <c r="G506" s="51"/>
      <c r="H506" s="66"/>
      <c r="I506" s="70"/>
      <c r="J506" s="70"/>
      <c r="K506" s="71"/>
      <c r="L506" s="71"/>
    </row>
    <row r="507" spans="6:12" x14ac:dyDescent="0.3">
      <c r="F507" s="52"/>
      <c r="G507" s="51"/>
      <c r="H507" s="66"/>
      <c r="I507" s="70"/>
      <c r="J507" s="70"/>
      <c r="K507" s="71"/>
      <c r="L507" s="71"/>
    </row>
    <row r="508" spans="6:12" x14ac:dyDescent="0.3">
      <c r="F508" s="52"/>
      <c r="G508" s="51"/>
      <c r="H508" s="66"/>
      <c r="I508" s="70"/>
      <c r="J508" s="70"/>
      <c r="K508" s="71"/>
      <c r="L508" s="71"/>
    </row>
    <row r="509" spans="6:12" x14ac:dyDescent="0.3">
      <c r="F509" s="52"/>
      <c r="G509" s="51"/>
      <c r="H509" s="66"/>
      <c r="I509" s="70"/>
      <c r="J509" s="70"/>
      <c r="K509" s="71"/>
      <c r="L509" s="71"/>
    </row>
    <row r="510" spans="6:12" x14ac:dyDescent="0.3">
      <c r="F510" s="52"/>
      <c r="G510" s="51"/>
      <c r="H510" s="66"/>
      <c r="I510" s="70"/>
      <c r="J510" s="70"/>
      <c r="K510" s="71"/>
      <c r="L510" s="71"/>
    </row>
    <row r="511" spans="6:12" x14ac:dyDescent="0.3">
      <c r="F511" s="52"/>
      <c r="G511" s="51"/>
      <c r="H511" s="66"/>
      <c r="I511" s="70"/>
      <c r="J511" s="70"/>
      <c r="K511" s="71"/>
      <c r="L511" s="71"/>
    </row>
    <row r="512" spans="6:12" x14ac:dyDescent="0.3">
      <c r="F512" s="52"/>
      <c r="G512" s="51"/>
      <c r="H512" s="66"/>
      <c r="I512" s="70"/>
      <c r="J512" s="70"/>
      <c r="K512" s="71"/>
      <c r="L512" s="71"/>
    </row>
    <row r="513" spans="6:12" x14ac:dyDescent="0.3">
      <c r="F513" s="52"/>
      <c r="G513" s="51"/>
      <c r="H513" s="66"/>
      <c r="I513" s="70"/>
      <c r="J513" s="70"/>
      <c r="K513" s="71"/>
      <c r="L513" s="71"/>
    </row>
    <row r="514" spans="6:12" x14ac:dyDescent="0.3">
      <c r="F514" s="52"/>
      <c r="G514" s="51"/>
      <c r="H514" s="66"/>
      <c r="I514" s="70"/>
      <c r="J514" s="70"/>
      <c r="K514" s="71"/>
      <c r="L514" s="71"/>
    </row>
    <row r="515" spans="6:12" x14ac:dyDescent="0.3">
      <c r="F515" s="52"/>
      <c r="G515" s="51"/>
      <c r="H515" s="66"/>
      <c r="I515" s="70"/>
      <c r="J515" s="70"/>
      <c r="K515" s="71"/>
      <c r="L515" s="71"/>
    </row>
    <row r="516" spans="6:12" x14ac:dyDescent="0.3">
      <c r="F516" s="52"/>
      <c r="G516" s="51"/>
      <c r="H516" s="66"/>
      <c r="I516" s="70"/>
      <c r="J516" s="70"/>
      <c r="K516" s="71"/>
      <c r="L516" s="71"/>
    </row>
    <row r="517" spans="6:12" x14ac:dyDescent="0.3">
      <c r="F517" s="52"/>
      <c r="G517" s="51"/>
      <c r="H517" s="66"/>
      <c r="I517" s="70"/>
      <c r="J517" s="70"/>
      <c r="K517" s="71"/>
      <c r="L517" s="71"/>
    </row>
    <row r="518" spans="6:12" x14ac:dyDescent="0.3">
      <c r="F518" s="52"/>
      <c r="G518" s="51"/>
      <c r="H518" s="66"/>
      <c r="I518" s="70"/>
      <c r="J518" s="70"/>
      <c r="K518" s="71"/>
      <c r="L518" s="71"/>
    </row>
    <row r="519" spans="6:12" x14ac:dyDescent="0.3">
      <c r="F519" s="52"/>
      <c r="G519" s="51"/>
      <c r="H519" s="66"/>
      <c r="I519" s="70"/>
      <c r="J519" s="70"/>
      <c r="K519" s="71"/>
      <c r="L519" s="71"/>
    </row>
    <row r="520" spans="6:12" x14ac:dyDescent="0.3">
      <c r="F520" s="52"/>
      <c r="G520" s="51"/>
      <c r="H520" s="66"/>
      <c r="I520" s="70"/>
      <c r="J520" s="70"/>
      <c r="K520" s="71"/>
      <c r="L520" s="71"/>
    </row>
    <row r="521" spans="6:12" x14ac:dyDescent="0.3">
      <c r="F521" s="52"/>
      <c r="G521" s="51"/>
      <c r="H521" s="66"/>
      <c r="I521" s="70"/>
      <c r="J521" s="70"/>
      <c r="K521" s="71"/>
      <c r="L521" s="71"/>
    </row>
    <row r="522" spans="6:12" x14ac:dyDescent="0.3">
      <c r="F522" s="52"/>
      <c r="G522" s="51"/>
      <c r="H522" s="66"/>
      <c r="I522" s="70"/>
      <c r="J522" s="70"/>
      <c r="K522" s="71"/>
      <c r="L522" s="71"/>
    </row>
    <row r="523" spans="6:12" x14ac:dyDescent="0.3">
      <c r="F523" s="52"/>
      <c r="G523" s="51"/>
      <c r="H523" s="66"/>
      <c r="I523" s="70"/>
      <c r="J523" s="70"/>
      <c r="K523" s="71"/>
      <c r="L523" s="71"/>
    </row>
    <row r="524" spans="6:12" x14ac:dyDescent="0.3">
      <c r="F524" s="52"/>
      <c r="G524" s="51"/>
      <c r="H524" s="66"/>
      <c r="I524" s="70"/>
      <c r="J524" s="70"/>
      <c r="K524" s="71"/>
      <c r="L524" s="71"/>
    </row>
    <row r="525" spans="6:12" x14ac:dyDescent="0.3">
      <c r="F525" s="52"/>
      <c r="G525" s="51"/>
      <c r="H525" s="66"/>
      <c r="I525" s="70"/>
      <c r="J525" s="70"/>
      <c r="K525" s="71"/>
      <c r="L525" s="71"/>
    </row>
    <row r="526" spans="6:12" x14ac:dyDescent="0.3">
      <c r="F526" s="52"/>
      <c r="G526" s="51"/>
      <c r="H526" s="66"/>
      <c r="I526" s="70"/>
      <c r="J526" s="70"/>
      <c r="K526" s="71"/>
      <c r="L526" s="71"/>
    </row>
    <row r="527" spans="6:12" x14ac:dyDescent="0.3">
      <c r="F527" s="52"/>
      <c r="G527" s="51"/>
      <c r="H527" s="66"/>
      <c r="I527" s="70"/>
      <c r="J527" s="70"/>
      <c r="K527" s="71"/>
      <c r="L527" s="71"/>
    </row>
    <row r="528" spans="6:12" x14ac:dyDescent="0.3">
      <c r="F528" s="52"/>
      <c r="G528" s="51"/>
      <c r="H528" s="66"/>
      <c r="I528" s="70"/>
      <c r="J528" s="70"/>
      <c r="K528" s="71"/>
      <c r="L528" s="71"/>
    </row>
    <row r="529" spans="6:12" x14ac:dyDescent="0.3">
      <c r="F529" s="52"/>
      <c r="G529" s="51"/>
      <c r="H529" s="66"/>
      <c r="I529" s="70"/>
      <c r="J529" s="70"/>
      <c r="K529" s="71"/>
      <c r="L529" s="71"/>
    </row>
    <row r="530" spans="6:12" x14ac:dyDescent="0.3">
      <c r="F530" s="52"/>
      <c r="G530" s="51"/>
      <c r="H530" s="66"/>
      <c r="I530" s="70"/>
      <c r="J530" s="70"/>
      <c r="K530" s="71"/>
      <c r="L530" s="71"/>
    </row>
    <row r="531" spans="6:12" x14ac:dyDescent="0.3">
      <c r="F531" s="52"/>
      <c r="G531" s="51"/>
      <c r="H531" s="66"/>
      <c r="I531" s="70"/>
      <c r="J531" s="70"/>
      <c r="K531" s="71"/>
      <c r="L531" s="71"/>
    </row>
    <row r="532" spans="6:12" x14ac:dyDescent="0.3">
      <c r="F532" s="52"/>
      <c r="G532" s="51"/>
      <c r="H532" s="66"/>
      <c r="I532" s="70"/>
      <c r="J532" s="70"/>
      <c r="K532" s="71"/>
      <c r="L532" s="71"/>
    </row>
    <row r="533" spans="6:12" x14ac:dyDescent="0.3">
      <c r="F533" s="52"/>
      <c r="G533" s="51"/>
      <c r="H533" s="66"/>
      <c r="I533" s="70"/>
      <c r="J533" s="70"/>
      <c r="K533" s="71"/>
      <c r="L533" s="71"/>
    </row>
    <row r="534" spans="6:12" x14ac:dyDescent="0.3">
      <c r="F534" s="52"/>
      <c r="G534" s="51"/>
      <c r="H534" s="66"/>
      <c r="I534" s="70"/>
      <c r="J534" s="70"/>
      <c r="K534" s="71"/>
      <c r="L534" s="71"/>
    </row>
    <row r="535" spans="6:12" x14ac:dyDescent="0.3">
      <c r="F535" s="52"/>
      <c r="G535" s="51"/>
      <c r="H535" s="66"/>
      <c r="I535" s="70"/>
      <c r="J535" s="70"/>
      <c r="K535" s="71"/>
      <c r="L535" s="71"/>
    </row>
    <row r="536" spans="6:12" x14ac:dyDescent="0.3">
      <c r="F536" s="52"/>
      <c r="G536" s="51"/>
      <c r="H536" s="66"/>
      <c r="I536" s="70"/>
      <c r="J536" s="70"/>
      <c r="K536" s="71"/>
      <c r="L536" s="71"/>
    </row>
    <row r="537" spans="6:12" x14ac:dyDescent="0.3">
      <c r="F537" s="52"/>
      <c r="G537" s="51"/>
      <c r="H537" s="66"/>
      <c r="I537" s="70"/>
      <c r="J537" s="70"/>
      <c r="K537" s="71"/>
      <c r="L537" s="71"/>
    </row>
    <row r="538" spans="6:12" x14ac:dyDescent="0.3">
      <c r="F538" s="52"/>
      <c r="G538" s="51"/>
      <c r="H538" s="66"/>
      <c r="I538" s="70"/>
      <c r="J538" s="70"/>
      <c r="K538" s="71"/>
      <c r="L538" s="71"/>
    </row>
    <row r="539" spans="6:12" x14ac:dyDescent="0.3">
      <c r="F539" s="52"/>
      <c r="G539" s="51"/>
      <c r="H539" s="66"/>
      <c r="I539" s="70"/>
      <c r="J539" s="70"/>
      <c r="K539" s="71"/>
      <c r="L539" s="71"/>
    </row>
    <row r="540" spans="6:12" x14ac:dyDescent="0.3">
      <c r="F540" s="52"/>
      <c r="G540" s="51"/>
      <c r="H540" s="66"/>
      <c r="I540" s="70"/>
      <c r="J540" s="70"/>
      <c r="K540" s="71"/>
      <c r="L540" s="71"/>
    </row>
    <row r="541" spans="6:12" x14ac:dyDescent="0.3">
      <c r="F541" s="52"/>
      <c r="G541" s="51"/>
      <c r="H541" s="66"/>
      <c r="I541" s="70"/>
      <c r="J541" s="70"/>
      <c r="K541" s="71"/>
      <c r="L541" s="71"/>
    </row>
    <row r="542" spans="6:12" x14ac:dyDescent="0.3">
      <c r="F542" s="52"/>
      <c r="G542" s="51"/>
      <c r="H542" s="66"/>
      <c r="I542" s="70"/>
      <c r="J542" s="70"/>
      <c r="K542" s="71"/>
      <c r="L542" s="71"/>
    </row>
    <row r="543" spans="6:12" x14ac:dyDescent="0.3">
      <c r="F543" s="52"/>
      <c r="G543" s="51"/>
      <c r="H543" s="66"/>
      <c r="I543" s="70"/>
      <c r="J543" s="70"/>
      <c r="K543" s="71"/>
      <c r="L543" s="71"/>
    </row>
    <row r="544" spans="6:12" x14ac:dyDescent="0.3">
      <c r="F544" s="52"/>
      <c r="G544" s="51"/>
      <c r="H544" s="66"/>
      <c r="I544" s="70"/>
      <c r="J544" s="70"/>
      <c r="K544" s="71"/>
      <c r="L544" s="71"/>
    </row>
    <row r="545" spans="6:12" x14ac:dyDescent="0.3">
      <c r="F545" s="52"/>
      <c r="G545" s="51"/>
      <c r="H545" s="66"/>
      <c r="I545" s="70"/>
      <c r="J545" s="70"/>
      <c r="K545" s="71"/>
      <c r="L545" s="71"/>
    </row>
    <row r="546" spans="6:12" x14ac:dyDescent="0.3">
      <c r="F546" s="52"/>
      <c r="G546" s="51"/>
      <c r="H546" s="66"/>
      <c r="I546" s="70"/>
      <c r="J546" s="70"/>
      <c r="K546" s="71"/>
      <c r="L546" s="71"/>
    </row>
    <row r="547" spans="6:12" x14ac:dyDescent="0.3">
      <c r="F547" s="52"/>
      <c r="G547" s="51"/>
      <c r="H547" s="66"/>
      <c r="I547" s="70"/>
      <c r="J547" s="70"/>
      <c r="K547" s="71"/>
      <c r="L547" s="71"/>
    </row>
    <row r="548" spans="6:12" x14ac:dyDescent="0.3">
      <c r="F548" s="52"/>
      <c r="G548" s="51"/>
      <c r="H548" s="66"/>
      <c r="I548" s="70"/>
      <c r="J548" s="70"/>
      <c r="K548" s="71"/>
      <c r="L548" s="71"/>
    </row>
    <row r="549" spans="6:12" x14ac:dyDescent="0.3">
      <c r="F549" s="52"/>
      <c r="G549" s="51"/>
      <c r="H549" s="66"/>
      <c r="I549" s="70"/>
      <c r="J549" s="70"/>
      <c r="K549" s="71"/>
      <c r="L549" s="71"/>
    </row>
    <row r="550" spans="6:12" x14ac:dyDescent="0.3">
      <c r="F550" s="52"/>
      <c r="G550" s="51"/>
      <c r="H550" s="66"/>
      <c r="I550" s="70"/>
      <c r="J550" s="70"/>
      <c r="K550" s="71"/>
      <c r="L550" s="71"/>
    </row>
    <row r="551" spans="6:12" x14ac:dyDescent="0.3">
      <c r="F551" s="52"/>
      <c r="G551" s="51"/>
      <c r="H551" s="66"/>
      <c r="I551" s="70"/>
      <c r="J551" s="70"/>
      <c r="K551" s="71"/>
      <c r="L551" s="71"/>
    </row>
    <row r="552" spans="6:12" x14ac:dyDescent="0.3">
      <c r="F552" s="52"/>
      <c r="G552" s="51"/>
      <c r="H552" s="66"/>
      <c r="I552" s="70"/>
      <c r="J552" s="70"/>
      <c r="K552" s="71"/>
      <c r="L552" s="71"/>
    </row>
    <row r="553" spans="6:12" x14ac:dyDescent="0.3">
      <c r="F553" s="52"/>
      <c r="G553" s="51"/>
      <c r="H553" s="66"/>
      <c r="I553" s="70"/>
      <c r="J553" s="70"/>
      <c r="K553" s="71"/>
      <c r="L553" s="71"/>
    </row>
    <row r="554" spans="6:12" x14ac:dyDescent="0.3">
      <c r="F554" s="52"/>
      <c r="G554" s="51"/>
      <c r="H554" s="66"/>
      <c r="I554" s="70"/>
      <c r="J554" s="70"/>
      <c r="K554" s="71"/>
      <c r="L554" s="71"/>
    </row>
    <row r="555" spans="6:12" x14ac:dyDescent="0.3">
      <c r="F555" s="52"/>
      <c r="G555" s="51"/>
      <c r="H555" s="66"/>
      <c r="I555" s="70"/>
      <c r="J555" s="70"/>
      <c r="K555" s="71"/>
      <c r="L555" s="71"/>
    </row>
    <row r="556" spans="6:12" x14ac:dyDescent="0.3">
      <c r="F556" s="52"/>
      <c r="G556" s="51"/>
      <c r="H556" s="66"/>
      <c r="I556" s="70"/>
      <c r="J556" s="70"/>
      <c r="K556" s="71"/>
      <c r="L556" s="71"/>
    </row>
    <row r="557" spans="6:12" x14ac:dyDescent="0.3">
      <c r="F557" s="52"/>
      <c r="G557" s="51"/>
      <c r="H557" s="66"/>
      <c r="I557" s="70"/>
      <c r="J557" s="70"/>
      <c r="K557" s="71"/>
      <c r="L557" s="71"/>
    </row>
    <row r="558" spans="6:12" x14ac:dyDescent="0.3">
      <c r="F558" s="52"/>
      <c r="G558" s="51"/>
      <c r="H558" s="66"/>
      <c r="I558" s="70"/>
      <c r="J558" s="70"/>
      <c r="K558" s="71"/>
      <c r="L558" s="71"/>
    </row>
    <row r="559" spans="6:12" x14ac:dyDescent="0.3">
      <c r="F559" s="52"/>
      <c r="G559" s="51"/>
      <c r="H559" s="66"/>
      <c r="I559" s="70"/>
      <c r="J559" s="70"/>
      <c r="K559" s="71"/>
      <c r="L559" s="71"/>
    </row>
    <row r="560" spans="6:12" x14ac:dyDescent="0.3">
      <c r="F560" s="52"/>
      <c r="G560" s="51"/>
      <c r="H560" s="66"/>
      <c r="I560" s="70"/>
      <c r="J560" s="70"/>
      <c r="K560" s="71"/>
      <c r="L560" s="71"/>
    </row>
    <row r="561" spans="6:12" x14ac:dyDescent="0.3">
      <c r="F561" s="52"/>
      <c r="G561" s="51"/>
      <c r="H561" s="66"/>
      <c r="I561" s="70"/>
      <c r="J561" s="70"/>
      <c r="K561" s="71"/>
      <c r="L561" s="71"/>
    </row>
    <row r="562" spans="6:12" x14ac:dyDescent="0.3">
      <c r="F562" s="52"/>
      <c r="G562" s="51"/>
      <c r="H562" s="66"/>
      <c r="I562" s="70"/>
      <c r="J562" s="70"/>
      <c r="K562" s="71"/>
      <c r="L562" s="71"/>
    </row>
    <row r="563" spans="6:12" x14ac:dyDescent="0.3">
      <c r="F563" s="52"/>
      <c r="G563" s="51"/>
      <c r="H563" s="66"/>
      <c r="I563" s="70"/>
      <c r="J563" s="70"/>
      <c r="K563" s="71"/>
      <c r="L563" s="71"/>
    </row>
    <row r="564" spans="6:12" x14ac:dyDescent="0.3">
      <c r="F564" s="52"/>
      <c r="G564" s="51"/>
      <c r="H564" s="66"/>
      <c r="I564" s="70"/>
      <c r="J564" s="70"/>
      <c r="K564" s="71"/>
      <c r="L564" s="71"/>
    </row>
    <row r="565" spans="6:12" x14ac:dyDescent="0.3">
      <c r="F565" s="52"/>
      <c r="G565" s="51"/>
      <c r="H565" s="66"/>
      <c r="I565" s="70"/>
      <c r="J565" s="70"/>
      <c r="K565" s="71"/>
      <c r="L565" s="71"/>
    </row>
    <row r="566" spans="6:12" x14ac:dyDescent="0.3">
      <c r="F566" s="52"/>
      <c r="G566" s="51"/>
      <c r="H566" s="66"/>
      <c r="I566" s="70"/>
      <c r="J566" s="70"/>
      <c r="K566" s="71"/>
      <c r="L566" s="71"/>
    </row>
    <row r="567" spans="6:12" x14ac:dyDescent="0.3">
      <c r="F567" s="52"/>
      <c r="G567" s="51"/>
      <c r="H567" s="66"/>
      <c r="I567" s="70"/>
      <c r="J567" s="70"/>
      <c r="K567" s="71"/>
      <c r="L567" s="71"/>
    </row>
    <row r="568" spans="6:12" x14ac:dyDescent="0.3">
      <c r="F568" s="52"/>
      <c r="G568" s="51"/>
      <c r="H568" s="66"/>
      <c r="I568" s="70"/>
      <c r="J568" s="70"/>
      <c r="K568" s="71"/>
      <c r="L568" s="71"/>
    </row>
    <row r="569" spans="6:12" x14ac:dyDescent="0.3">
      <c r="F569" s="52"/>
      <c r="G569" s="51"/>
      <c r="H569" s="66"/>
      <c r="I569" s="70"/>
      <c r="J569" s="70"/>
      <c r="K569" s="71"/>
      <c r="L569" s="71"/>
    </row>
    <row r="570" spans="6:12" x14ac:dyDescent="0.3">
      <c r="F570" s="52"/>
      <c r="G570" s="51"/>
      <c r="H570" s="66"/>
      <c r="I570" s="70"/>
      <c r="J570" s="70"/>
      <c r="K570" s="71"/>
      <c r="L570" s="71"/>
    </row>
    <row r="571" spans="6:12" x14ac:dyDescent="0.3">
      <c r="F571" s="52"/>
      <c r="G571" s="51"/>
      <c r="H571" s="66"/>
      <c r="I571" s="70"/>
      <c r="J571" s="70"/>
      <c r="K571" s="71"/>
      <c r="L571" s="71"/>
    </row>
    <row r="572" spans="6:12" x14ac:dyDescent="0.3">
      <c r="F572" s="52"/>
      <c r="G572" s="51"/>
      <c r="H572" s="66"/>
      <c r="I572" s="70"/>
      <c r="J572" s="70"/>
      <c r="K572" s="71"/>
      <c r="L572" s="71"/>
    </row>
    <row r="573" spans="6:12" x14ac:dyDescent="0.3">
      <c r="F573" s="52"/>
      <c r="G573" s="51"/>
      <c r="H573" s="66"/>
      <c r="I573" s="70"/>
      <c r="J573" s="70"/>
      <c r="K573" s="71"/>
      <c r="L573" s="71"/>
    </row>
    <row r="574" spans="6:12" x14ac:dyDescent="0.3">
      <c r="F574" s="52"/>
      <c r="G574" s="51"/>
      <c r="H574" s="66"/>
      <c r="I574" s="70"/>
      <c r="J574" s="70"/>
      <c r="K574" s="71"/>
      <c r="L574" s="71"/>
    </row>
    <row r="575" spans="6:12" x14ac:dyDescent="0.3">
      <c r="F575" s="52"/>
      <c r="G575" s="51"/>
      <c r="H575" s="66"/>
      <c r="I575" s="70"/>
      <c r="J575" s="70"/>
      <c r="K575" s="71"/>
      <c r="L575" s="71"/>
    </row>
    <row r="576" spans="6:12" x14ac:dyDescent="0.3">
      <c r="F576" s="52"/>
      <c r="G576" s="51"/>
      <c r="H576" s="66"/>
      <c r="I576" s="70"/>
      <c r="J576" s="70"/>
      <c r="K576" s="71"/>
      <c r="L576" s="71"/>
    </row>
    <row r="577" spans="6:12" x14ac:dyDescent="0.3">
      <c r="F577" s="52"/>
      <c r="G577" s="51"/>
      <c r="H577" s="66"/>
      <c r="I577" s="70"/>
      <c r="J577" s="70"/>
      <c r="K577" s="71"/>
      <c r="L577" s="71"/>
    </row>
    <row r="578" spans="6:12" x14ac:dyDescent="0.3">
      <c r="F578" s="52"/>
      <c r="G578" s="51"/>
      <c r="H578" s="66"/>
      <c r="I578" s="70"/>
      <c r="J578" s="70"/>
      <c r="K578" s="71"/>
      <c r="L578" s="71"/>
    </row>
    <row r="579" spans="6:12" x14ac:dyDescent="0.3">
      <c r="F579" s="52"/>
      <c r="G579" s="51"/>
      <c r="H579" s="66"/>
      <c r="I579" s="70"/>
      <c r="J579" s="70"/>
      <c r="K579" s="71"/>
      <c r="L579" s="71"/>
    </row>
    <row r="580" spans="6:12" x14ac:dyDescent="0.3">
      <c r="F580" s="52"/>
      <c r="G580" s="51"/>
      <c r="H580" s="66"/>
      <c r="I580" s="70"/>
      <c r="J580" s="70"/>
      <c r="K580" s="71"/>
      <c r="L580" s="71"/>
    </row>
    <row r="581" spans="6:12" x14ac:dyDescent="0.3">
      <c r="F581" s="52"/>
      <c r="G581" s="51"/>
      <c r="H581" s="66"/>
      <c r="I581" s="70"/>
      <c r="J581" s="70"/>
      <c r="K581" s="71"/>
      <c r="L581" s="71"/>
    </row>
    <row r="582" spans="6:12" x14ac:dyDescent="0.3">
      <c r="F582" s="52"/>
      <c r="G582" s="51"/>
      <c r="H582" s="66"/>
      <c r="I582" s="70"/>
      <c r="J582" s="70"/>
      <c r="K582" s="71"/>
      <c r="L582" s="71"/>
    </row>
    <row r="583" spans="6:12" x14ac:dyDescent="0.3">
      <c r="F583" s="52"/>
      <c r="G583" s="51"/>
      <c r="H583" s="66"/>
      <c r="I583" s="70"/>
      <c r="J583" s="70"/>
      <c r="K583" s="71"/>
      <c r="L583" s="71"/>
    </row>
    <row r="584" spans="6:12" x14ac:dyDescent="0.3">
      <c r="F584" s="52"/>
      <c r="G584" s="51"/>
      <c r="H584" s="66"/>
      <c r="I584" s="70"/>
      <c r="J584" s="70"/>
      <c r="K584" s="71"/>
      <c r="L584" s="71"/>
    </row>
    <row r="585" spans="6:12" x14ac:dyDescent="0.3">
      <c r="F585" s="52"/>
      <c r="G585" s="51"/>
      <c r="H585" s="66"/>
      <c r="I585" s="70"/>
      <c r="J585" s="70"/>
      <c r="K585" s="71"/>
      <c r="L585" s="71"/>
    </row>
    <row r="586" spans="6:12" x14ac:dyDescent="0.3">
      <c r="F586" s="52"/>
      <c r="G586" s="51"/>
      <c r="H586" s="66"/>
      <c r="I586" s="70"/>
      <c r="J586" s="70"/>
      <c r="K586" s="71"/>
      <c r="L586" s="71"/>
    </row>
    <row r="587" spans="6:12" x14ac:dyDescent="0.3">
      <c r="F587" s="52"/>
      <c r="G587" s="51"/>
      <c r="H587" s="66"/>
      <c r="I587" s="70"/>
      <c r="J587" s="70"/>
      <c r="K587" s="71"/>
      <c r="L587" s="71"/>
    </row>
    <row r="588" spans="6:12" x14ac:dyDescent="0.3">
      <c r="F588" s="52"/>
      <c r="G588" s="51"/>
      <c r="H588" s="66"/>
      <c r="I588" s="70"/>
      <c r="J588" s="70"/>
      <c r="K588" s="71"/>
      <c r="L588" s="71"/>
    </row>
    <row r="589" spans="6:12" x14ac:dyDescent="0.3">
      <c r="F589" s="52"/>
      <c r="G589" s="51"/>
      <c r="H589" s="66"/>
      <c r="I589" s="70"/>
      <c r="J589" s="70"/>
      <c r="K589" s="71"/>
      <c r="L589" s="71"/>
    </row>
    <row r="590" spans="6:12" x14ac:dyDescent="0.3">
      <c r="F590" s="52"/>
      <c r="G590" s="51"/>
      <c r="H590" s="66"/>
      <c r="I590" s="70"/>
      <c r="J590" s="70"/>
      <c r="K590" s="71"/>
      <c r="L590" s="71"/>
    </row>
    <row r="591" spans="6:12" x14ac:dyDescent="0.3">
      <c r="F591" s="52"/>
      <c r="G591" s="51"/>
      <c r="H591" s="66"/>
      <c r="I591" s="70"/>
      <c r="J591" s="70"/>
      <c r="K591" s="71"/>
      <c r="L591" s="71"/>
    </row>
    <row r="592" spans="6:12" x14ac:dyDescent="0.3">
      <c r="F592" s="52"/>
      <c r="G592" s="51"/>
      <c r="H592" s="66"/>
      <c r="I592" s="70"/>
      <c r="J592" s="70"/>
      <c r="K592" s="71"/>
      <c r="L592" s="71"/>
    </row>
    <row r="593" spans="6:12" x14ac:dyDescent="0.3">
      <c r="F593" s="52"/>
      <c r="G593" s="51"/>
      <c r="H593" s="66"/>
      <c r="I593" s="70"/>
      <c r="J593" s="70"/>
      <c r="K593" s="71"/>
      <c r="L593" s="71"/>
    </row>
    <row r="594" spans="6:12" x14ac:dyDescent="0.3">
      <c r="F594" s="52"/>
      <c r="G594" s="51"/>
      <c r="H594" s="66"/>
      <c r="I594" s="70"/>
      <c r="J594" s="70"/>
      <c r="K594" s="71"/>
      <c r="L594" s="71"/>
    </row>
    <row r="595" spans="6:12" x14ac:dyDescent="0.3">
      <c r="F595" s="52"/>
      <c r="G595" s="51"/>
      <c r="H595" s="66"/>
      <c r="I595" s="70"/>
      <c r="J595" s="70"/>
      <c r="K595" s="71"/>
      <c r="L595" s="71"/>
    </row>
    <row r="596" spans="6:12" x14ac:dyDescent="0.3">
      <c r="F596" s="52"/>
      <c r="G596" s="51"/>
      <c r="H596" s="66"/>
      <c r="I596" s="70"/>
      <c r="J596" s="70"/>
      <c r="K596" s="71"/>
      <c r="L596" s="71"/>
    </row>
    <row r="597" spans="6:12" x14ac:dyDescent="0.3">
      <c r="F597" s="52"/>
      <c r="G597" s="51"/>
      <c r="H597" s="66"/>
      <c r="I597" s="70"/>
      <c r="J597" s="70"/>
      <c r="K597" s="71"/>
      <c r="L597" s="71"/>
    </row>
    <row r="598" spans="6:12" x14ac:dyDescent="0.3">
      <c r="F598" s="52"/>
      <c r="G598" s="51"/>
      <c r="H598" s="66"/>
      <c r="I598" s="70"/>
      <c r="J598" s="70"/>
      <c r="K598" s="71"/>
      <c r="L598" s="71"/>
    </row>
    <row r="599" spans="6:12" x14ac:dyDescent="0.3">
      <c r="F599" s="52"/>
      <c r="G599" s="51"/>
      <c r="H599" s="66"/>
      <c r="I599" s="70"/>
      <c r="J599" s="70"/>
      <c r="K599" s="71"/>
      <c r="L599" s="71"/>
    </row>
    <row r="600" spans="6:12" x14ac:dyDescent="0.3">
      <c r="F600" s="52"/>
      <c r="G600" s="51"/>
      <c r="H600" s="66"/>
      <c r="I600" s="70"/>
      <c r="J600" s="70"/>
      <c r="K600" s="71"/>
      <c r="L600" s="71"/>
    </row>
    <row r="601" spans="6:12" x14ac:dyDescent="0.3">
      <c r="F601" s="52"/>
      <c r="G601" s="51"/>
      <c r="H601" s="66"/>
      <c r="I601" s="70"/>
      <c r="J601" s="70"/>
      <c r="K601" s="71"/>
      <c r="L601" s="71"/>
    </row>
    <row r="602" spans="6:12" x14ac:dyDescent="0.3">
      <c r="F602" s="52"/>
      <c r="G602" s="51"/>
      <c r="H602" s="66"/>
      <c r="I602" s="70"/>
      <c r="J602" s="70"/>
      <c r="K602" s="71"/>
      <c r="L602" s="71"/>
    </row>
    <row r="603" spans="6:12" x14ac:dyDescent="0.3">
      <c r="F603" s="52"/>
      <c r="G603" s="51"/>
      <c r="H603" s="66"/>
      <c r="I603" s="70"/>
      <c r="J603" s="70"/>
      <c r="K603" s="71"/>
      <c r="L603" s="71"/>
    </row>
    <row r="604" spans="6:12" x14ac:dyDescent="0.3">
      <c r="F604" s="52"/>
      <c r="G604" s="51"/>
      <c r="H604" s="66"/>
      <c r="I604" s="70"/>
      <c r="J604" s="70"/>
      <c r="K604" s="71"/>
      <c r="L604" s="71"/>
    </row>
    <row r="605" spans="6:12" x14ac:dyDescent="0.3">
      <c r="F605" s="52"/>
      <c r="G605" s="51"/>
      <c r="H605" s="66"/>
      <c r="I605" s="70"/>
      <c r="J605" s="70"/>
      <c r="K605" s="71"/>
      <c r="L605" s="71"/>
    </row>
    <row r="606" spans="6:12" x14ac:dyDescent="0.3">
      <c r="F606" s="52"/>
      <c r="G606" s="51"/>
      <c r="H606" s="66"/>
      <c r="I606" s="70"/>
      <c r="J606" s="70"/>
      <c r="K606" s="71"/>
      <c r="L606" s="71"/>
    </row>
    <row r="607" spans="6:12" x14ac:dyDescent="0.3">
      <c r="F607" s="52"/>
      <c r="G607" s="51"/>
      <c r="H607" s="66"/>
      <c r="I607" s="70"/>
      <c r="J607" s="70"/>
      <c r="K607" s="71"/>
      <c r="L607" s="71"/>
    </row>
    <row r="608" spans="6:12" x14ac:dyDescent="0.3">
      <c r="F608" s="52"/>
      <c r="G608" s="51"/>
      <c r="H608" s="66"/>
      <c r="I608" s="70"/>
      <c r="J608" s="70"/>
      <c r="K608" s="71"/>
      <c r="L608" s="71"/>
    </row>
    <row r="609" spans="6:12" x14ac:dyDescent="0.3">
      <c r="F609" s="52"/>
      <c r="G609" s="51"/>
      <c r="H609" s="66"/>
      <c r="I609" s="70"/>
      <c r="J609" s="70"/>
      <c r="K609" s="71"/>
      <c r="L609" s="71"/>
    </row>
    <row r="610" spans="6:12" x14ac:dyDescent="0.3">
      <c r="F610" s="52"/>
      <c r="G610" s="51"/>
      <c r="H610" s="66"/>
      <c r="I610" s="70"/>
      <c r="J610" s="70"/>
      <c r="K610" s="71"/>
      <c r="L610" s="71"/>
    </row>
    <row r="611" spans="6:12" x14ac:dyDescent="0.3">
      <c r="F611" s="52"/>
      <c r="G611" s="51"/>
      <c r="H611" s="66"/>
      <c r="I611" s="70"/>
      <c r="J611" s="70"/>
      <c r="K611" s="71"/>
      <c r="L611" s="71"/>
    </row>
    <row r="612" spans="6:12" x14ac:dyDescent="0.3">
      <c r="F612" s="52"/>
      <c r="G612" s="51"/>
      <c r="H612" s="66"/>
      <c r="I612" s="70"/>
      <c r="J612" s="70"/>
      <c r="K612" s="71"/>
      <c r="L612" s="71"/>
    </row>
    <row r="613" spans="6:12" x14ac:dyDescent="0.3">
      <c r="F613" s="52"/>
      <c r="G613" s="51"/>
      <c r="H613" s="66"/>
      <c r="I613" s="70"/>
      <c r="J613" s="70"/>
      <c r="K613" s="71"/>
      <c r="L613" s="71"/>
    </row>
    <row r="614" spans="6:12" x14ac:dyDescent="0.3">
      <c r="F614" s="52"/>
      <c r="G614" s="51"/>
      <c r="H614" s="66"/>
      <c r="I614" s="70"/>
      <c r="J614" s="70"/>
      <c r="K614" s="71"/>
      <c r="L614" s="71"/>
    </row>
    <row r="615" spans="6:12" x14ac:dyDescent="0.3">
      <c r="F615" s="52"/>
      <c r="G615" s="51"/>
      <c r="H615" s="66"/>
      <c r="I615" s="70"/>
      <c r="J615" s="70"/>
      <c r="K615" s="71"/>
      <c r="L615" s="71"/>
    </row>
    <row r="616" spans="6:12" x14ac:dyDescent="0.3">
      <c r="F616" s="52"/>
      <c r="G616" s="51"/>
      <c r="H616" s="66"/>
      <c r="I616" s="70"/>
      <c r="J616" s="70"/>
      <c r="K616" s="71"/>
      <c r="L616" s="71"/>
    </row>
    <row r="617" spans="6:12" x14ac:dyDescent="0.3">
      <c r="F617" s="52"/>
      <c r="G617" s="51"/>
      <c r="H617" s="66"/>
      <c r="I617" s="70"/>
      <c r="J617" s="70"/>
      <c r="K617" s="71"/>
      <c r="L617" s="71"/>
    </row>
    <row r="618" spans="6:12" x14ac:dyDescent="0.3">
      <c r="F618" s="52"/>
      <c r="G618" s="51"/>
      <c r="H618" s="66"/>
      <c r="I618" s="70"/>
      <c r="J618" s="70"/>
      <c r="K618" s="71"/>
      <c r="L618" s="71"/>
    </row>
    <row r="619" spans="6:12" x14ac:dyDescent="0.3">
      <c r="F619" s="52"/>
      <c r="G619" s="51"/>
      <c r="H619" s="66"/>
      <c r="I619" s="70"/>
      <c r="J619" s="70"/>
      <c r="K619" s="71"/>
      <c r="L619" s="71"/>
    </row>
    <row r="620" spans="6:12" x14ac:dyDescent="0.3">
      <c r="F620" s="52"/>
      <c r="G620" s="51"/>
      <c r="H620" s="66"/>
      <c r="I620" s="70"/>
      <c r="J620" s="70"/>
      <c r="K620" s="71"/>
      <c r="L620" s="71"/>
    </row>
    <row r="621" spans="6:12" x14ac:dyDescent="0.3">
      <c r="F621" s="52"/>
      <c r="G621" s="51"/>
      <c r="H621" s="66"/>
      <c r="I621" s="70"/>
      <c r="J621" s="70"/>
      <c r="K621" s="71"/>
      <c r="L621" s="71"/>
    </row>
    <row r="622" spans="6:12" x14ac:dyDescent="0.3">
      <c r="F622" s="52"/>
      <c r="G622" s="51"/>
      <c r="H622" s="66"/>
      <c r="I622" s="70"/>
      <c r="J622" s="70"/>
      <c r="K622" s="71"/>
      <c r="L622" s="71"/>
    </row>
    <row r="623" spans="6:12" x14ac:dyDescent="0.3">
      <c r="F623" s="52"/>
      <c r="G623" s="51"/>
      <c r="H623" s="66"/>
      <c r="I623" s="70"/>
      <c r="J623" s="70"/>
      <c r="K623" s="71"/>
      <c r="L623" s="71"/>
    </row>
    <row r="624" spans="6:12" x14ac:dyDescent="0.3">
      <c r="F624" s="52"/>
      <c r="G624" s="51"/>
      <c r="H624" s="66"/>
      <c r="I624" s="70"/>
      <c r="J624" s="70"/>
      <c r="K624" s="71"/>
      <c r="L624" s="71"/>
    </row>
    <row r="625" spans="6:12" x14ac:dyDescent="0.3">
      <c r="F625" s="52"/>
      <c r="G625" s="51"/>
      <c r="H625" s="66"/>
      <c r="I625" s="70"/>
      <c r="J625" s="70"/>
      <c r="K625" s="71"/>
      <c r="L625" s="71"/>
    </row>
    <row r="626" spans="6:12" x14ac:dyDescent="0.3">
      <c r="F626" s="52"/>
      <c r="G626" s="51"/>
      <c r="H626" s="66"/>
      <c r="I626" s="70"/>
      <c r="J626" s="70"/>
      <c r="K626" s="71"/>
      <c r="L626" s="71"/>
    </row>
    <row r="627" spans="6:12" x14ac:dyDescent="0.3">
      <c r="F627" s="52"/>
      <c r="G627" s="51"/>
      <c r="H627" s="66"/>
      <c r="I627" s="70"/>
      <c r="J627" s="70"/>
      <c r="K627" s="71"/>
      <c r="L627" s="71"/>
    </row>
    <row r="628" spans="6:12" x14ac:dyDescent="0.3">
      <c r="F628" s="52"/>
      <c r="G628" s="51"/>
      <c r="H628" s="66"/>
      <c r="I628" s="70"/>
      <c r="J628" s="70"/>
      <c r="K628" s="71"/>
      <c r="L628" s="71"/>
    </row>
    <row r="629" spans="6:12" x14ac:dyDescent="0.3">
      <c r="F629" s="52"/>
      <c r="G629" s="51"/>
      <c r="H629" s="66"/>
      <c r="I629" s="70"/>
      <c r="J629" s="70"/>
      <c r="K629" s="71"/>
      <c r="L629" s="71"/>
    </row>
    <row r="630" spans="6:12" x14ac:dyDescent="0.3">
      <c r="F630" s="52"/>
      <c r="G630" s="51"/>
      <c r="H630" s="66"/>
      <c r="I630" s="70"/>
      <c r="J630" s="70"/>
      <c r="K630" s="71"/>
      <c r="L630" s="71"/>
    </row>
    <row r="631" spans="6:12" x14ac:dyDescent="0.3">
      <c r="F631" s="52"/>
      <c r="G631" s="51"/>
      <c r="H631" s="66"/>
      <c r="I631" s="70"/>
      <c r="J631" s="70"/>
      <c r="K631" s="71"/>
      <c r="L631" s="71"/>
    </row>
    <row r="632" spans="6:12" x14ac:dyDescent="0.3">
      <c r="F632" s="52"/>
      <c r="G632" s="51"/>
      <c r="H632" s="66"/>
      <c r="I632" s="70"/>
      <c r="J632" s="70"/>
      <c r="K632" s="71"/>
      <c r="L632" s="71"/>
    </row>
    <row r="633" spans="6:12" x14ac:dyDescent="0.3">
      <c r="F633" s="52"/>
      <c r="G633" s="51"/>
      <c r="H633" s="66"/>
      <c r="I633" s="70"/>
      <c r="J633" s="70"/>
      <c r="K633" s="71"/>
      <c r="L633" s="71"/>
    </row>
    <row r="634" spans="6:12" x14ac:dyDescent="0.3">
      <c r="F634" s="52"/>
      <c r="G634" s="51"/>
      <c r="H634" s="66"/>
      <c r="I634" s="70"/>
      <c r="J634" s="70"/>
      <c r="K634" s="71"/>
      <c r="L634" s="71"/>
    </row>
    <row r="635" spans="6:12" x14ac:dyDescent="0.3">
      <c r="F635" s="52"/>
      <c r="G635" s="51"/>
      <c r="H635" s="66"/>
      <c r="I635" s="70"/>
      <c r="J635" s="70"/>
      <c r="K635" s="71"/>
      <c r="L635" s="71"/>
    </row>
    <row r="636" spans="6:12" x14ac:dyDescent="0.3">
      <c r="F636" s="52"/>
      <c r="G636" s="51"/>
      <c r="H636" s="66"/>
      <c r="I636" s="70"/>
      <c r="J636" s="70"/>
      <c r="K636" s="71"/>
      <c r="L636" s="71"/>
    </row>
    <row r="637" spans="6:12" x14ac:dyDescent="0.3">
      <c r="F637" s="52"/>
      <c r="G637" s="51"/>
      <c r="H637" s="66"/>
      <c r="I637" s="70"/>
      <c r="J637" s="70"/>
      <c r="K637" s="71"/>
      <c r="L637" s="71"/>
    </row>
    <row r="638" spans="6:12" x14ac:dyDescent="0.3">
      <c r="F638" s="52"/>
      <c r="G638" s="51"/>
      <c r="H638" s="66"/>
      <c r="I638" s="70"/>
      <c r="J638" s="70"/>
      <c r="K638" s="71"/>
      <c r="L638" s="71"/>
    </row>
    <row r="639" spans="6:12" x14ac:dyDescent="0.3">
      <c r="F639" s="52"/>
      <c r="G639" s="51"/>
      <c r="H639" s="66"/>
      <c r="I639" s="70"/>
      <c r="J639" s="70"/>
      <c r="K639" s="71"/>
      <c r="L639" s="71"/>
    </row>
    <row r="640" spans="6:12" x14ac:dyDescent="0.3">
      <c r="F640" s="52"/>
      <c r="G640" s="51"/>
      <c r="H640" s="66"/>
      <c r="I640" s="70"/>
      <c r="J640" s="70"/>
      <c r="K640" s="71"/>
      <c r="L640" s="71"/>
    </row>
    <row r="641" spans="6:12" x14ac:dyDescent="0.3">
      <c r="F641" s="52"/>
      <c r="G641" s="51"/>
      <c r="H641" s="66"/>
      <c r="I641" s="70"/>
      <c r="J641" s="70"/>
      <c r="K641" s="71"/>
      <c r="L641" s="71"/>
    </row>
    <row r="642" spans="6:12" x14ac:dyDescent="0.3">
      <c r="F642" s="52"/>
      <c r="G642" s="51"/>
      <c r="H642" s="66"/>
      <c r="I642" s="70"/>
      <c r="J642" s="70"/>
      <c r="K642" s="71"/>
      <c r="L642" s="71"/>
    </row>
    <row r="643" spans="6:12" x14ac:dyDescent="0.3">
      <c r="F643" s="52"/>
      <c r="G643" s="51"/>
      <c r="H643" s="66"/>
      <c r="I643" s="70"/>
      <c r="J643" s="70"/>
      <c r="K643" s="71"/>
      <c r="L643" s="71"/>
    </row>
    <row r="644" spans="6:12" x14ac:dyDescent="0.3">
      <c r="F644" s="52"/>
      <c r="G644" s="51"/>
      <c r="H644" s="66"/>
      <c r="I644" s="70"/>
      <c r="J644" s="70"/>
      <c r="K644" s="71"/>
      <c r="L644" s="71"/>
    </row>
    <row r="645" spans="6:12" x14ac:dyDescent="0.3">
      <c r="F645" s="52"/>
      <c r="G645" s="51"/>
      <c r="H645" s="66"/>
      <c r="I645" s="70"/>
      <c r="J645" s="70"/>
      <c r="K645" s="71"/>
      <c r="L645" s="71"/>
    </row>
    <row r="646" spans="6:12" x14ac:dyDescent="0.3">
      <c r="F646" s="52"/>
      <c r="G646" s="51"/>
      <c r="H646" s="66"/>
      <c r="I646" s="70"/>
      <c r="J646" s="70"/>
      <c r="K646" s="71"/>
      <c r="L646" s="71"/>
    </row>
    <row r="647" spans="6:12" x14ac:dyDescent="0.3">
      <c r="F647" s="52"/>
      <c r="G647" s="51"/>
      <c r="H647" s="66"/>
      <c r="I647" s="70"/>
      <c r="J647" s="70"/>
      <c r="K647" s="71"/>
      <c r="L647" s="71"/>
    </row>
    <row r="648" spans="6:12" x14ac:dyDescent="0.3">
      <c r="F648" s="52"/>
      <c r="G648" s="51"/>
      <c r="H648" s="66"/>
      <c r="I648" s="70"/>
      <c r="J648" s="70"/>
      <c r="K648" s="71"/>
      <c r="L648" s="71"/>
    </row>
    <row r="649" spans="6:12" x14ac:dyDescent="0.3">
      <c r="F649" s="52"/>
      <c r="G649" s="51"/>
      <c r="H649" s="66"/>
      <c r="I649" s="70"/>
      <c r="J649" s="70"/>
      <c r="K649" s="71"/>
      <c r="L649" s="71"/>
    </row>
    <row r="650" spans="6:12" x14ac:dyDescent="0.3">
      <c r="F650" s="52"/>
      <c r="G650" s="51"/>
      <c r="H650" s="66"/>
      <c r="I650" s="70"/>
      <c r="J650" s="70"/>
      <c r="K650" s="71"/>
      <c r="L650" s="71"/>
    </row>
    <row r="651" spans="6:12" x14ac:dyDescent="0.3">
      <c r="F651" s="52"/>
      <c r="G651" s="51"/>
      <c r="H651" s="66"/>
      <c r="I651" s="70"/>
      <c r="J651" s="70"/>
      <c r="K651" s="71"/>
      <c r="L651" s="71"/>
    </row>
    <row r="652" spans="6:12" x14ac:dyDescent="0.3">
      <c r="F652" s="52"/>
      <c r="G652" s="51"/>
      <c r="H652" s="66"/>
      <c r="I652" s="70"/>
      <c r="J652" s="70"/>
      <c r="K652" s="71"/>
      <c r="L652" s="71"/>
    </row>
    <row r="653" spans="6:12" x14ac:dyDescent="0.3">
      <c r="F653" s="52"/>
      <c r="G653" s="51"/>
      <c r="H653" s="66"/>
      <c r="I653" s="70"/>
      <c r="J653" s="70"/>
      <c r="K653" s="71"/>
      <c r="L653" s="71"/>
    </row>
    <row r="654" spans="6:12" x14ac:dyDescent="0.3">
      <c r="F654" s="52"/>
      <c r="G654" s="51"/>
      <c r="H654" s="66"/>
      <c r="I654" s="70"/>
      <c r="J654" s="70"/>
      <c r="K654" s="71"/>
      <c r="L654" s="71"/>
    </row>
    <row r="655" spans="6:12" x14ac:dyDescent="0.3">
      <c r="F655" s="52"/>
      <c r="G655" s="51"/>
      <c r="H655" s="66"/>
      <c r="I655" s="70"/>
      <c r="J655" s="70"/>
      <c r="K655" s="71"/>
      <c r="L655" s="71"/>
    </row>
    <row r="656" spans="6:12" x14ac:dyDescent="0.3">
      <c r="F656" s="52"/>
      <c r="G656" s="51"/>
      <c r="H656" s="66"/>
      <c r="I656" s="70"/>
      <c r="J656" s="70"/>
      <c r="K656" s="71"/>
      <c r="L656" s="71"/>
    </row>
    <row r="657" spans="6:12" x14ac:dyDescent="0.3">
      <c r="F657" s="52"/>
      <c r="G657" s="51"/>
      <c r="H657" s="66"/>
      <c r="I657" s="70"/>
      <c r="J657" s="70"/>
      <c r="K657" s="71"/>
      <c r="L657" s="71"/>
    </row>
    <row r="658" spans="6:12" x14ac:dyDescent="0.3">
      <c r="F658" s="52"/>
      <c r="G658" s="51"/>
      <c r="H658" s="66"/>
      <c r="I658" s="70"/>
      <c r="J658" s="70"/>
      <c r="K658" s="71"/>
      <c r="L658" s="71"/>
    </row>
    <row r="659" spans="6:12" x14ac:dyDescent="0.3">
      <c r="F659" s="52"/>
      <c r="G659" s="51"/>
      <c r="H659" s="66"/>
      <c r="I659" s="70"/>
      <c r="J659" s="70"/>
      <c r="K659" s="71"/>
      <c r="L659" s="71"/>
    </row>
    <row r="660" spans="6:12" x14ac:dyDescent="0.3">
      <c r="F660" s="52"/>
      <c r="G660" s="51"/>
      <c r="H660" s="66"/>
      <c r="I660" s="70"/>
      <c r="J660" s="70"/>
      <c r="K660" s="71"/>
      <c r="L660" s="71"/>
    </row>
    <row r="661" spans="6:12" x14ac:dyDescent="0.3">
      <c r="F661" s="52"/>
      <c r="G661" s="51"/>
      <c r="H661" s="66"/>
      <c r="I661" s="70"/>
      <c r="J661" s="70"/>
      <c r="K661" s="71"/>
      <c r="L661" s="71"/>
    </row>
    <row r="662" spans="6:12" x14ac:dyDescent="0.3">
      <c r="F662" s="52"/>
      <c r="G662" s="51"/>
      <c r="H662" s="66"/>
      <c r="I662" s="70"/>
      <c r="J662" s="70"/>
      <c r="K662" s="71"/>
      <c r="L662" s="71"/>
    </row>
    <row r="663" spans="6:12" x14ac:dyDescent="0.3">
      <c r="F663" s="52"/>
      <c r="G663" s="51"/>
      <c r="H663" s="66"/>
      <c r="I663" s="70"/>
      <c r="J663" s="70"/>
      <c r="K663" s="71"/>
      <c r="L663" s="71"/>
    </row>
    <row r="664" spans="6:12" x14ac:dyDescent="0.3">
      <c r="F664" s="52"/>
      <c r="G664" s="51"/>
      <c r="H664" s="66"/>
      <c r="I664" s="70"/>
      <c r="J664" s="70"/>
      <c r="K664" s="71"/>
      <c r="L664" s="71"/>
    </row>
    <row r="665" spans="6:12" x14ac:dyDescent="0.3">
      <c r="F665" s="52"/>
      <c r="G665" s="51"/>
      <c r="H665" s="66"/>
      <c r="I665" s="70"/>
      <c r="J665" s="70"/>
      <c r="K665" s="71"/>
      <c r="L665" s="71"/>
    </row>
    <row r="666" spans="6:12" x14ac:dyDescent="0.3">
      <c r="F666" s="52"/>
      <c r="G666" s="51"/>
      <c r="H666" s="66"/>
      <c r="I666" s="70"/>
      <c r="J666" s="70"/>
      <c r="K666" s="71"/>
      <c r="L666" s="71"/>
    </row>
    <row r="667" spans="6:12" x14ac:dyDescent="0.3">
      <c r="F667" s="52"/>
      <c r="G667" s="51"/>
      <c r="H667" s="66"/>
      <c r="I667" s="70"/>
      <c r="J667" s="70"/>
      <c r="K667" s="71"/>
      <c r="L667" s="71"/>
    </row>
    <row r="668" spans="6:12" x14ac:dyDescent="0.3">
      <c r="F668" s="52"/>
      <c r="G668" s="51"/>
      <c r="H668" s="66"/>
      <c r="I668" s="70"/>
      <c r="J668" s="70"/>
      <c r="K668" s="71"/>
      <c r="L668" s="71"/>
    </row>
    <row r="669" spans="6:12" x14ac:dyDescent="0.3">
      <c r="F669" s="52"/>
      <c r="G669" s="51"/>
      <c r="H669" s="66"/>
      <c r="I669" s="70"/>
      <c r="J669" s="70"/>
      <c r="K669" s="71"/>
      <c r="L669" s="71"/>
    </row>
    <row r="670" spans="6:12" x14ac:dyDescent="0.3">
      <c r="F670" s="52"/>
      <c r="G670" s="51"/>
      <c r="H670" s="66"/>
      <c r="I670" s="70"/>
      <c r="J670" s="70"/>
      <c r="K670" s="71"/>
      <c r="L670" s="71"/>
    </row>
    <row r="671" spans="6:12" x14ac:dyDescent="0.3">
      <c r="F671" s="52"/>
      <c r="G671" s="51"/>
      <c r="H671" s="66"/>
      <c r="I671" s="70"/>
      <c r="J671" s="70"/>
      <c r="K671" s="71"/>
      <c r="L671" s="71"/>
    </row>
    <row r="672" spans="6:12" x14ac:dyDescent="0.3">
      <c r="F672" s="52"/>
      <c r="G672" s="51"/>
      <c r="H672" s="66"/>
      <c r="I672" s="70"/>
      <c r="J672" s="70"/>
      <c r="K672" s="71"/>
      <c r="L672" s="71"/>
    </row>
    <row r="673" spans="6:12" x14ac:dyDescent="0.3">
      <c r="F673" s="52"/>
      <c r="G673" s="51"/>
      <c r="H673" s="66"/>
      <c r="I673" s="70"/>
      <c r="J673" s="70"/>
      <c r="K673" s="71"/>
      <c r="L673" s="71"/>
    </row>
    <row r="674" spans="6:12" x14ac:dyDescent="0.3">
      <c r="F674" s="52"/>
      <c r="G674" s="51"/>
      <c r="H674" s="66"/>
      <c r="I674" s="70"/>
      <c r="J674" s="70"/>
      <c r="K674" s="71"/>
      <c r="L674" s="71"/>
    </row>
    <row r="675" spans="6:12" x14ac:dyDescent="0.3">
      <c r="F675" s="52"/>
      <c r="G675" s="51"/>
      <c r="H675" s="66"/>
      <c r="I675" s="70"/>
      <c r="J675" s="70"/>
      <c r="K675" s="71"/>
      <c r="L675" s="71"/>
    </row>
    <row r="676" spans="6:12" x14ac:dyDescent="0.3">
      <c r="F676" s="52"/>
      <c r="G676" s="51"/>
      <c r="H676" s="66"/>
      <c r="I676" s="70"/>
      <c r="J676" s="70"/>
      <c r="K676" s="71"/>
      <c r="L676" s="71"/>
    </row>
    <row r="677" spans="6:12" x14ac:dyDescent="0.3">
      <c r="F677" s="52"/>
      <c r="G677" s="51"/>
      <c r="H677" s="66"/>
      <c r="I677" s="70"/>
      <c r="J677" s="70"/>
      <c r="K677" s="71"/>
      <c r="L677" s="71"/>
    </row>
    <row r="678" spans="6:12" x14ac:dyDescent="0.3">
      <c r="F678" s="52"/>
      <c r="G678" s="51"/>
      <c r="H678" s="66"/>
      <c r="I678" s="70"/>
      <c r="J678" s="70"/>
      <c r="K678" s="71"/>
      <c r="L678" s="71"/>
    </row>
    <row r="679" spans="6:12" x14ac:dyDescent="0.3">
      <c r="F679" s="52"/>
      <c r="G679" s="51"/>
      <c r="H679" s="66"/>
      <c r="I679" s="70"/>
      <c r="J679" s="70"/>
      <c r="K679" s="71"/>
      <c r="L679" s="71"/>
    </row>
    <row r="680" spans="6:12" x14ac:dyDescent="0.3">
      <c r="F680" s="52"/>
      <c r="G680" s="51"/>
      <c r="H680" s="66"/>
      <c r="I680" s="70"/>
      <c r="J680" s="70"/>
      <c r="K680" s="71"/>
      <c r="L680" s="71"/>
    </row>
    <row r="681" spans="6:12" x14ac:dyDescent="0.3">
      <c r="F681" s="52"/>
      <c r="G681" s="51"/>
      <c r="H681" s="66"/>
      <c r="I681" s="70"/>
      <c r="J681" s="70"/>
      <c r="K681" s="71"/>
      <c r="L681" s="71"/>
    </row>
    <row r="682" spans="6:12" x14ac:dyDescent="0.3">
      <c r="F682" s="52"/>
      <c r="G682" s="51"/>
      <c r="H682" s="66"/>
      <c r="I682" s="70"/>
      <c r="J682" s="70"/>
      <c r="K682" s="71"/>
      <c r="L682" s="71"/>
    </row>
    <row r="683" spans="6:12" x14ac:dyDescent="0.3">
      <c r="F683" s="52"/>
      <c r="G683" s="51"/>
      <c r="H683" s="66"/>
      <c r="I683" s="70"/>
      <c r="J683" s="70"/>
      <c r="K683" s="71"/>
      <c r="L683" s="71"/>
    </row>
    <row r="684" spans="6:12" x14ac:dyDescent="0.3">
      <c r="F684" s="50"/>
      <c r="G684" s="51"/>
      <c r="H684" s="66"/>
      <c r="I684" s="70"/>
      <c r="J684" s="70"/>
      <c r="K684" s="71"/>
      <c r="L684" s="71"/>
    </row>
    <row r="685" spans="6:12" x14ac:dyDescent="0.3">
      <c r="F685" s="50"/>
      <c r="G685" s="51"/>
      <c r="H685" s="66"/>
      <c r="I685" s="70"/>
      <c r="J685" s="70"/>
      <c r="K685" s="71"/>
      <c r="L685" s="71"/>
    </row>
    <row r="686" spans="6:12" x14ac:dyDescent="0.3">
      <c r="F686" s="50"/>
      <c r="G686" s="51"/>
      <c r="H686" s="66"/>
      <c r="I686" s="70"/>
      <c r="J686" s="70"/>
      <c r="K686" s="71"/>
      <c r="L686" s="71"/>
    </row>
    <row r="687" spans="6:12" x14ac:dyDescent="0.3">
      <c r="F687" s="50"/>
      <c r="G687" s="51"/>
      <c r="H687" s="66"/>
      <c r="I687" s="70"/>
      <c r="J687" s="70"/>
      <c r="K687" s="71"/>
      <c r="L687" s="71"/>
    </row>
    <row r="688" spans="6:12" x14ac:dyDescent="0.3">
      <c r="F688" s="50"/>
      <c r="G688" s="51"/>
      <c r="H688" s="66"/>
      <c r="I688" s="70"/>
      <c r="J688" s="70"/>
      <c r="K688" s="71"/>
      <c r="L688" s="71"/>
    </row>
    <row r="689" spans="6:12" x14ac:dyDescent="0.3">
      <c r="F689" s="50"/>
      <c r="G689" s="51"/>
      <c r="H689" s="66"/>
      <c r="I689" s="70"/>
      <c r="J689" s="70"/>
      <c r="K689" s="71"/>
      <c r="L689" s="71"/>
    </row>
    <row r="690" spans="6:12" x14ac:dyDescent="0.3">
      <c r="F690" s="50"/>
      <c r="G690" s="51"/>
      <c r="H690" s="66"/>
      <c r="I690" s="70"/>
      <c r="J690" s="70"/>
      <c r="K690" s="71"/>
      <c r="L690" s="71"/>
    </row>
    <row r="691" spans="6:12" x14ac:dyDescent="0.3">
      <c r="F691" s="50"/>
      <c r="G691" s="51"/>
      <c r="H691" s="66"/>
      <c r="I691" s="70"/>
      <c r="J691" s="70"/>
      <c r="K691" s="71"/>
      <c r="L691" s="71"/>
    </row>
    <row r="692" spans="6:12" x14ac:dyDescent="0.3">
      <c r="F692" s="50"/>
      <c r="G692" s="51"/>
      <c r="H692" s="66"/>
      <c r="I692" s="70"/>
      <c r="J692" s="70"/>
      <c r="K692" s="71"/>
      <c r="L692" s="71"/>
    </row>
    <row r="693" spans="6:12" x14ac:dyDescent="0.3">
      <c r="F693" s="50"/>
      <c r="G693" s="51"/>
      <c r="H693" s="66"/>
      <c r="I693" s="70"/>
      <c r="J693" s="70"/>
      <c r="K693" s="71"/>
      <c r="L693" s="71"/>
    </row>
    <row r="694" spans="6:12" x14ac:dyDescent="0.3">
      <c r="F694" s="50"/>
      <c r="G694" s="51"/>
      <c r="H694" s="66"/>
      <c r="I694" s="70"/>
      <c r="J694" s="70"/>
      <c r="K694" s="71"/>
      <c r="L694" s="71"/>
    </row>
    <row r="695" spans="6:12" x14ac:dyDescent="0.3">
      <c r="F695" s="50"/>
      <c r="G695" s="51"/>
      <c r="H695" s="66"/>
      <c r="I695" s="70"/>
      <c r="J695" s="70"/>
      <c r="K695" s="71"/>
      <c r="L695" s="71"/>
    </row>
    <row r="696" spans="6:12" x14ac:dyDescent="0.3">
      <c r="F696" s="50"/>
      <c r="G696" s="51"/>
      <c r="H696" s="66"/>
      <c r="I696" s="70"/>
      <c r="J696" s="70"/>
      <c r="K696" s="71"/>
      <c r="L696" s="71"/>
    </row>
    <row r="697" spans="6:12" x14ac:dyDescent="0.3">
      <c r="F697" s="50"/>
      <c r="G697" s="51"/>
      <c r="H697" s="66"/>
      <c r="I697" s="70"/>
      <c r="J697" s="70"/>
      <c r="K697" s="71"/>
      <c r="L697" s="71"/>
    </row>
    <row r="698" spans="6:12" x14ac:dyDescent="0.3">
      <c r="F698" s="50"/>
      <c r="G698" s="51"/>
      <c r="H698" s="66"/>
      <c r="I698" s="70"/>
      <c r="J698" s="70"/>
      <c r="K698" s="71"/>
      <c r="L698" s="71"/>
    </row>
    <row r="699" spans="6:12" x14ac:dyDescent="0.3">
      <c r="F699" s="50"/>
      <c r="G699" s="51"/>
      <c r="H699" s="66"/>
      <c r="I699" s="70"/>
      <c r="J699" s="70"/>
      <c r="K699" s="71"/>
      <c r="L699" s="71"/>
    </row>
    <row r="700" spans="6:12" x14ac:dyDescent="0.3">
      <c r="F700" s="50"/>
      <c r="G700" s="51"/>
      <c r="H700" s="66"/>
      <c r="I700" s="70"/>
      <c r="J700" s="70"/>
      <c r="K700" s="71"/>
      <c r="L700" s="71"/>
    </row>
    <row r="701" spans="6:12" x14ac:dyDescent="0.3">
      <c r="F701" s="50"/>
      <c r="G701" s="51"/>
      <c r="H701" s="66"/>
      <c r="I701" s="70"/>
      <c r="J701" s="70"/>
      <c r="K701" s="71"/>
      <c r="L701" s="71"/>
    </row>
    <row r="702" spans="6:12" x14ac:dyDescent="0.3">
      <c r="F702" s="50"/>
      <c r="G702" s="51"/>
      <c r="H702" s="66"/>
      <c r="I702" s="70"/>
      <c r="J702" s="70"/>
      <c r="K702" s="71"/>
      <c r="L702" s="71"/>
    </row>
    <row r="703" spans="6:12" x14ac:dyDescent="0.3">
      <c r="F703" s="50"/>
      <c r="G703" s="51"/>
      <c r="H703" s="66"/>
      <c r="I703" s="70"/>
      <c r="J703" s="70"/>
      <c r="K703" s="71"/>
      <c r="L703" s="71"/>
    </row>
    <row r="704" spans="6:12" x14ac:dyDescent="0.3">
      <c r="F704" s="50"/>
      <c r="G704" s="51"/>
      <c r="H704" s="66"/>
      <c r="I704" s="70"/>
      <c r="J704" s="70"/>
      <c r="K704" s="71"/>
      <c r="L704" s="71"/>
    </row>
    <row r="705" spans="6:12" x14ac:dyDescent="0.3">
      <c r="F705" s="50"/>
      <c r="G705" s="51"/>
      <c r="H705" s="66"/>
      <c r="I705" s="70"/>
      <c r="J705" s="70"/>
      <c r="K705" s="71"/>
      <c r="L705" s="71"/>
    </row>
    <row r="706" spans="6:12" x14ac:dyDescent="0.3">
      <c r="F706" s="50"/>
      <c r="G706" s="51"/>
      <c r="H706" s="66"/>
      <c r="I706" s="70"/>
      <c r="J706" s="70"/>
      <c r="K706" s="71"/>
      <c r="L706" s="71"/>
    </row>
    <row r="707" spans="6:12" x14ac:dyDescent="0.3">
      <c r="F707" s="50"/>
      <c r="G707" s="51"/>
      <c r="H707" s="66"/>
      <c r="I707" s="70"/>
      <c r="J707" s="70"/>
      <c r="K707" s="71"/>
      <c r="L707" s="71"/>
    </row>
    <row r="708" spans="6:12" x14ac:dyDescent="0.3">
      <c r="F708" s="50"/>
      <c r="G708" s="51"/>
      <c r="H708" s="66"/>
      <c r="I708" s="70"/>
      <c r="J708" s="70"/>
      <c r="K708" s="71"/>
      <c r="L708" s="71"/>
    </row>
    <row r="709" spans="6:12" x14ac:dyDescent="0.3">
      <c r="F709" s="50"/>
      <c r="G709" s="51"/>
      <c r="H709" s="66"/>
      <c r="I709" s="70"/>
      <c r="J709" s="70"/>
      <c r="K709" s="71"/>
      <c r="L709" s="71"/>
    </row>
    <row r="710" spans="6:12" x14ac:dyDescent="0.3">
      <c r="F710" s="50"/>
      <c r="G710" s="51"/>
      <c r="H710" s="66"/>
      <c r="I710" s="70"/>
      <c r="J710" s="70"/>
      <c r="K710" s="71"/>
      <c r="L710" s="71"/>
    </row>
    <row r="711" spans="6:12" x14ac:dyDescent="0.3">
      <c r="F711" s="50"/>
      <c r="G711" s="51"/>
      <c r="H711" s="66"/>
      <c r="I711" s="70"/>
      <c r="J711" s="70"/>
      <c r="K711" s="71"/>
      <c r="L711" s="71"/>
    </row>
    <row r="712" spans="6:12" x14ac:dyDescent="0.3">
      <c r="F712" s="50"/>
      <c r="G712" s="51"/>
      <c r="H712" s="66"/>
      <c r="I712" s="70"/>
      <c r="J712" s="70"/>
      <c r="K712" s="71"/>
      <c r="L712" s="71"/>
    </row>
    <row r="713" spans="6:12" x14ac:dyDescent="0.3">
      <c r="F713" s="50"/>
      <c r="G713" s="51"/>
      <c r="H713" s="66"/>
      <c r="I713" s="70"/>
      <c r="J713" s="70"/>
      <c r="K713" s="71"/>
      <c r="L713" s="71"/>
    </row>
    <row r="714" spans="6:12" x14ac:dyDescent="0.3">
      <c r="F714" s="50"/>
      <c r="G714" s="51"/>
      <c r="H714" s="66"/>
      <c r="I714" s="70"/>
      <c r="J714" s="70"/>
      <c r="K714" s="71"/>
      <c r="L714" s="71"/>
    </row>
    <row r="715" spans="6:12" x14ac:dyDescent="0.3">
      <c r="F715" s="50"/>
      <c r="G715" s="51"/>
      <c r="H715" s="66"/>
      <c r="I715" s="70"/>
      <c r="J715" s="70"/>
      <c r="K715" s="71"/>
      <c r="L715" s="71"/>
    </row>
    <row r="716" spans="6:12" x14ac:dyDescent="0.3">
      <c r="F716" s="50"/>
      <c r="G716" s="51"/>
      <c r="H716" s="66"/>
      <c r="I716" s="70"/>
      <c r="J716" s="70"/>
      <c r="K716" s="71"/>
      <c r="L716" s="71"/>
    </row>
    <row r="717" spans="6:12" x14ac:dyDescent="0.3">
      <c r="F717" s="50"/>
      <c r="G717" s="51"/>
      <c r="H717" s="66"/>
      <c r="I717" s="70"/>
      <c r="J717" s="70"/>
      <c r="K717" s="71"/>
      <c r="L717" s="71"/>
    </row>
    <row r="718" spans="6:12" x14ac:dyDescent="0.3">
      <c r="F718" s="50"/>
      <c r="G718" s="51"/>
      <c r="H718" s="66"/>
      <c r="I718" s="70"/>
      <c r="J718" s="70"/>
      <c r="K718" s="71"/>
      <c r="L718" s="71"/>
    </row>
    <row r="719" spans="6:12" x14ac:dyDescent="0.3">
      <c r="F719" s="50"/>
      <c r="G719" s="51"/>
      <c r="H719" s="66"/>
      <c r="I719" s="70"/>
      <c r="J719" s="70"/>
      <c r="K719" s="71"/>
      <c r="L719" s="71"/>
    </row>
    <row r="720" spans="6:12" x14ac:dyDescent="0.3">
      <c r="F720" s="50"/>
      <c r="G720" s="51"/>
      <c r="H720" s="66"/>
      <c r="I720" s="70"/>
      <c r="J720" s="70"/>
      <c r="K720" s="71"/>
      <c r="L720" s="71"/>
    </row>
    <row r="721" spans="6:12" x14ac:dyDescent="0.3">
      <c r="F721" s="50"/>
      <c r="G721" s="51"/>
      <c r="H721" s="66"/>
      <c r="I721" s="70"/>
      <c r="J721" s="70"/>
      <c r="K721" s="71"/>
      <c r="L721" s="71"/>
    </row>
    <row r="722" spans="6:12" x14ac:dyDescent="0.3">
      <c r="F722" s="50"/>
      <c r="G722" s="51"/>
      <c r="H722" s="66"/>
      <c r="I722" s="70"/>
      <c r="J722" s="70"/>
      <c r="K722" s="71"/>
      <c r="L722" s="71"/>
    </row>
    <row r="723" spans="6:12" x14ac:dyDescent="0.3">
      <c r="F723" s="50"/>
      <c r="G723" s="51"/>
      <c r="H723" s="66"/>
      <c r="I723" s="70"/>
      <c r="J723" s="70"/>
      <c r="K723" s="71"/>
      <c r="L723" s="71"/>
    </row>
    <row r="724" spans="6:12" x14ac:dyDescent="0.3">
      <c r="F724" s="50"/>
      <c r="G724" s="51"/>
      <c r="H724" s="66"/>
      <c r="I724" s="70"/>
      <c r="J724" s="70"/>
      <c r="K724" s="71"/>
      <c r="L724" s="71"/>
    </row>
    <row r="725" spans="6:12" x14ac:dyDescent="0.3">
      <c r="F725" s="50"/>
      <c r="G725" s="51"/>
      <c r="H725" s="66"/>
      <c r="I725" s="70"/>
      <c r="J725" s="70"/>
      <c r="K725" s="71"/>
      <c r="L725" s="71"/>
    </row>
    <row r="726" spans="6:12" x14ac:dyDescent="0.3">
      <c r="F726" s="50"/>
      <c r="G726" s="51"/>
      <c r="H726" s="66"/>
      <c r="I726" s="70"/>
      <c r="J726" s="70"/>
      <c r="K726" s="71"/>
      <c r="L726" s="71"/>
    </row>
    <row r="727" spans="6:12" x14ac:dyDescent="0.3">
      <c r="F727" s="50"/>
      <c r="G727" s="51"/>
      <c r="H727" s="66"/>
      <c r="I727" s="70"/>
      <c r="J727" s="70"/>
      <c r="K727" s="71"/>
      <c r="L727" s="71"/>
    </row>
    <row r="728" spans="6:12" x14ac:dyDescent="0.3">
      <c r="F728" s="50"/>
      <c r="G728" s="51"/>
      <c r="H728" s="66"/>
      <c r="I728" s="70"/>
      <c r="J728" s="70"/>
      <c r="K728" s="71"/>
      <c r="L728" s="71"/>
    </row>
    <row r="729" spans="6:12" x14ac:dyDescent="0.3">
      <c r="F729" s="50"/>
      <c r="G729" s="51"/>
      <c r="H729" s="66"/>
      <c r="I729" s="70"/>
      <c r="J729" s="70"/>
      <c r="K729" s="71"/>
      <c r="L729" s="71"/>
    </row>
    <row r="730" spans="6:12" x14ac:dyDescent="0.3">
      <c r="F730" s="50"/>
      <c r="G730" s="51"/>
      <c r="H730" s="66"/>
      <c r="I730" s="70"/>
      <c r="J730" s="70"/>
      <c r="K730" s="71"/>
      <c r="L730" s="71"/>
    </row>
    <row r="731" spans="6:12" x14ac:dyDescent="0.3">
      <c r="F731" s="50"/>
      <c r="G731" s="51"/>
      <c r="H731" s="66"/>
      <c r="I731" s="70"/>
      <c r="J731" s="70"/>
      <c r="K731" s="71"/>
      <c r="L731" s="71"/>
    </row>
    <row r="732" spans="6:12" x14ac:dyDescent="0.3">
      <c r="F732" s="50"/>
      <c r="G732" s="51"/>
      <c r="H732" s="66"/>
      <c r="I732" s="70"/>
      <c r="J732" s="70"/>
      <c r="K732" s="71"/>
      <c r="L732" s="71"/>
    </row>
    <row r="733" spans="6:12" x14ac:dyDescent="0.3">
      <c r="F733" s="50"/>
      <c r="G733" s="51"/>
      <c r="H733" s="66"/>
      <c r="I733" s="70"/>
      <c r="J733" s="70"/>
      <c r="K733" s="71"/>
      <c r="L733" s="71"/>
    </row>
    <row r="734" spans="6:12" x14ac:dyDescent="0.3">
      <c r="F734" s="50"/>
      <c r="G734" s="51"/>
      <c r="H734" s="66"/>
      <c r="I734" s="70"/>
      <c r="J734" s="70"/>
      <c r="K734" s="71"/>
      <c r="L734" s="71"/>
    </row>
    <row r="735" spans="6:12" x14ac:dyDescent="0.3">
      <c r="F735" s="50"/>
      <c r="G735" s="51"/>
      <c r="H735" s="66"/>
      <c r="I735" s="70"/>
      <c r="J735" s="70"/>
      <c r="K735" s="71"/>
      <c r="L735" s="71"/>
    </row>
    <row r="736" spans="6:12" x14ac:dyDescent="0.3">
      <c r="F736" s="50"/>
      <c r="G736" s="51"/>
      <c r="H736" s="66"/>
      <c r="I736" s="70"/>
      <c r="J736" s="70"/>
      <c r="K736" s="71"/>
      <c r="L736" s="71"/>
    </row>
    <row r="737" spans="6:12" x14ac:dyDescent="0.3">
      <c r="F737" s="50"/>
      <c r="G737" s="51"/>
      <c r="H737" s="66"/>
      <c r="I737" s="70"/>
      <c r="J737" s="70"/>
      <c r="K737" s="71"/>
      <c r="L737" s="71"/>
    </row>
    <row r="738" spans="6:12" x14ac:dyDescent="0.3">
      <c r="F738" s="50"/>
      <c r="G738" s="51"/>
      <c r="H738" s="66"/>
      <c r="I738" s="70"/>
      <c r="J738" s="70"/>
      <c r="K738" s="71"/>
      <c r="L738" s="71"/>
    </row>
    <row r="739" spans="6:12" x14ac:dyDescent="0.3">
      <c r="F739" s="50"/>
      <c r="G739" s="51"/>
      <c r="H739" s="66"/>
      <c r="I739" s="70"/>
      <c r="J739" s="70"/>
      <c r="K739" s="71"/>
      <c r="L739" s="71"/>
    </row>
    <row r="740" spans="6:12" x14ac:dyDescent="0.3">
      <c r="F740" s="50"/>
      <c r="G740" s="51"/>
      <c r="H740" s="66"/>
      <c r="I740" s="70"/>
      <c r="J740" s="70"/>
      <c r="K740" s="71"/>
      <c r="L740" s="71"/>
    </row>
    <row r="741" spans="6:12" x14ac:dyDescent="0.3">
      <c r="F741" s="50"/>
      <c r="G741" s="51"/>
      <c r="H741" s="66"/>
      <c r="I741" s="70"/>
      <c r="J741" s="70"/>
      <c r="K741" s="71"/>
      <c r="L741" s="71"/>
    </row>
    <row r="742" spans="6:12" x14ac:dyDescent="0.3">
      <c r="F742" s="50"/>
      <c r="G742" s="51"/>
      <c r="H742" s="66"/>
      <c r="I742" s="70"/>
      <c r="J742" s="70"/>
      <c r="K742" s="71"/>
      <c r="L742" s="71"/>
    </row>
    <row r="743" spans="6:12" x14ac:dyDescent="0.3">
      <c r="F743" s="50"/>
      <c r="G743" s="51"/>
      <c r="H743" s="66"/>
      <c r="I743" s="70"/>
      <c r="J743" s="70"/>
      <c r="K743" s="71"/>
      <c r="L743" s="71"/>
    </row>
    <row r="744" spans="6:12" x14ac:dyDescent="0.3">
      <c r="F744" s="50"/>
      <c r="G744" s="51"/>
      <c r="H744" s="66"/>
      <c r="I744" s="70"/>
      <c r="J744" s="70"/>
      <c r="K744" s="71"/>
      <c r="L744" s="71"/>
    </row>
    <row r="745" spans="6:12" x14ac:dyDescent="0.3">
      <c r="F745" s="50"/>
      <c r="G745" s="51"/>
      <c r="H745" s="66"/>
      <c r="I745" s="70"/>
      <c r="J745" s="70"/>
      <c r="K745" s="71"/>
      <c r="L745" s="71"/>
    </row>
    <row r="746" spans="6:12" x14ac:dyDescent="0.3">
      <c r="F746" s="50"/>
      <c r="G746" s="51"/>
      <c r="H746" s="66"/>
      <c r="I746" s="70"/>
      <c r="J746" s="70"/>
      <c r="K746" s="71"/>
      <c r="L746" s="71"/>
    </row>
    <row r="747" spans="6:12" x14ac:dyDescent="0.3">
      <c r="F747" s="50"/>
      <c r="G747" s="51"/>
      <c r="H747" s="66"/>
      <c r="I747" s="70"/>
      <c r="J747" s="70"/>
      <c r="K747" s="71"/>
      <c r="L747" s="71"/>
    </row>
    <row r="748" spans="6:12" x14ac:dyDescent="0.3">
      <c r="F748" s="50"/>
      <c r="G748" s="51"/>
      <c r="H748" s="66"/>
      <c r="I748" s="70"/>
      <c r="J748" s="70"/>
      <c r="K748" s="71"/>
      <c r="L748" s="71"/>
    </row>
    <row r="749" spans="6:12" x14ac:dyDescent="0.3">
      <c r="F749" s="50"/>
      <c r="G749" s="51"/>
      <c r="H749" s="66"/>
      <c r="I749" s="70"/>
      <c r="J749" s="70"/>
      <c r="K749" s="71"/>
      <c r="L749" s="71"/>
    </row>
    <row r="750" spans="6:12" x14ac:dyDescent="0.3">
      <c r="F750" s="50"/>
      <c r="G750" s="51"/>
      <c r="H750" s="66"/>
      <c r="I750" s="70"/>
      <c r="J750" s="70"/>
      <c r="K750" s="71"/>
      <c r="L750" s="71"/>
    </row>
    <row r="751" spans="6:12" x14ac:dyDescent="0.3">
      <c r="F751" s="50"/>
      <c r="G751" s="51"/>
      <c r="H751" s="66"/>
      <c r="I751" s="70"/>
      <c r="J751" s="70"/>
      <c r="K751" s="71"/>
      <c r="L751" s="71"/>
    </row>
    <row r="752" spans="6:12" x14ac:dyDescent="0.3">
      <c r="F752" s="50"/>
      <c r="G752" s="51"/>
      <c r="H752" s="49"/>
      <c r="I752" s="70"/>
      <c r="J752" s="70"/>
      <c r="K752" s="71"/>
      <c r="L752" s="71"/>
    </row>
    <row r="753" spans="6:12" x14ac:dyDescent="0.3">
      <c r="F753" s="50"/>
      <c r="G753" s="51"/>
      <c r="H753" s="49"/>
      <c r="I753" s="70"/>
      <c r="J753" s="70"/>
      <c r="K753" s="71"/>
      <c r="L753" s="71"/>
    </row>
    <row r="754" spans="6:12" x14ac:dyDescent="0.3">
      <c r="F754" s="50"/>
      <c r="G754" s="51"/>
      <c r="H754" s="49"/>
      <c r="I754" s="70"/>
      <c r="J754" s="70"/>
      <c r="K754" s="71"/>
      <c r="L754" s="71"/>
    </row>
    <row r="755" spans="6:12" x14ac:dyDescent="0.3">
      <c r="F755" s="50"/>
      <c r="G755" s="51"/>
      <c r="H755" s="49"/>
      <c r="I755" s="70"/>
      <c r="J755" s="70"/>
      <c r="K755" s="71"/>
      <c r="L755" s="71"/>
    </row>
    <row r="756" spans="6:12" x14ac:dyDescent="0.3">
      <c r="F756" s="50"/>
      <c r="G756" s="51"/>
      <c r="H756" s="49"/>
      <c r="I756" s="70"/>
      <c r="J756" s="70"/>
      <c r="K756" s="71"/>
      <c r="L756" s="71"/>
    </row>
    <row r="757" spans="6:12" x14ac:dyDescent="0.3">
      <c r="F757" s="50"/>
      <c r="G757" s="51"/>
      <c r="H757" s="49"/>
      <c r="I757" s="70"/>
      <c r="J757" s="70"/>
      <c r="K757" s="71"/>
      <c r="L757" s="71"/>
    </row>
    <row r="758" spans="6:12" x14ac:dyDescent="0.3">
      <c r="F758" s="50"/>
      <c r="G758" s="51"/>
      <c r="H758" s="49"/>
      <c r="I758" s="70"/>
      <c r="J758" s="70"/>
      <c r="K758" s="71"/>
      <c r="L758" s="71"/>
    </row>
    <row r="759" spans="6:12" x14ac:dyDescent="0.3">
      <c r="F759" s="50"/>
      <c r="G759" s="51"/>
      <c r="H759" s="49"/>
      <c r="I759" s="70"/>
      <c r="J759" s="70"/>
      <c r="K759" s="71"/>
      <c r="L759" s="71"/>
    </row>
    <row r="760" spans="6:12" x14ac:dyDescent="0.3">
      <c r="F760" s="50"/>
      <c r="G760" s="51"/>
      <c r="H760" s="49"/>
      <c r="I760" s="70"/>
      <c r="J760" s="70"/>
      <c r="K760" s="71"/>
      <c r="L760" s="71"/>
    </row>
    <row r="761" spans="6:12" x14ac:dyDescent="0.3">
      <c r="F761" s="50"/>
      <c r="G761" s="51"/>
      <c r="H761" s="49"/>
      <c r="I761" s="70"/>
      <c r="J761" s="70"/>
      <c r="K761" s="71"/>
      <c r="L761" s="71"/>
    </row>
    <row r="762" spans="6:12" x14ac:dyDescent="0.3">
      <c r="F762" s="50"/>
      <c r="G762" s="51"/>
      <c r="H762" s="49"/>
      <c r="I762" s="70"/>
      <c r="J762" s="70"/>
      <c r="K762" s="71"/>
      <c r="L762" s="71"/>
    </row>
    <row r="763" spans="6:12" x14ac:dyDescent="0.3">
      <c r="F763" s="50"/>
      <c r="G763" s="51"/>
      <c r="H763" s="49"/>
      <c r="I763" s="70"/>
      <c r="J763" s="70"/>
      <c r="K763" s="71"/>
      <c r="L763" s="71"/>
    </row>
    <row r="764" spans="6:12" x14ac:dyDescent="0.3">
      <c r="F764" s="50"/>
      <c r="G764" s="51"/>
      <c r="H764" s="49"/>
      <c r="I764" s="70"/>
      <c r="J764" s="70"/>
      <c r="K764" s="71"/>
      <c r="L764" s="71"/>
    </row>
    <row r="765" spans="6:12" x14ac:dyDescent="0.3">
      <c r="F765" s="50"/>
      <c r="G765" s="51"/>
      <c r="H765" s="49"/>
      <c r="I765" s="70"/>
      <c r="J765" s="70"/>
      <c r="K765" s="71"/>
      <c r="L765" s="71"/>
    </row>
    <row r="766" spans="6:12" x14ac:dyDescent="0.3">
      <c r="F766" s="50"/>
      <c r="G766" s="51"/>
      <c r="H766" s="49"/>
      <c r="I766" s="70"/>
      <c r="J766" s="70"/>
      <c r="K766" s="71"/>
      <c r="L766" s="71"/>
    </row>
    <row r="767" spans="6:12" x14ac:dyDescent="0.3">
      <c r="F767" s="50"/>
      <c r="G767" s="51"/>
      <c r="H767" s="49"/>
      <c r="I767" s="70"/>
      <c r="J767" s="70"/>
      <c r="K767" s="71"/>
      <c r="L767" s="71"/>
    </row>
    <row r="768" spans="6:12" x14ac:dyDescent="0.3">
      <c r="F768" s="50"/>
      <c r="G768" s="51"/>
      <c r="H768" s="49"/>
      <c r="I768" s="70"/>
      <c r="J768" s="70"/>
      <c r="K768" s="71"/>
      <c r="L768" s="71"/>
    </row>
    <row r="769" spans="6:12" x14ac:dyDescent="0.3">
      <c r="F769" s="50"/>
      <c r="G769" s="51"/>
      <c r="H769" s="49"/>
      <c r="I769" s="70"/>
      <c r="J769" s="70"/>
      <c r="K769" s="71"/>
      <c r="L769" s="71"/>
    </row>
    <row r="770" spans="6:12" x14ac:dyDescent="0.3">
      <c r="F770" s="50"/>
      <c r="G770" s="51"/>
      <c r="H770" s="49"/>
      <c r="I770" s="70"/>
      <c r="J770" s="70"/>
      <c r="K770" s="71"/>
      <c r="L770" s="71"/>
    </row>
    <row r="771" spans="6:12" x14ac:dyDescent="0.3">
      <c r="F771" s="50"/>
      <c r="G771" s="51"/>
      <c r="H771" s="49"/>
      <c r="I771" s="70"/>
      <c r="J771" s="70"/>
      <c r="K771" s="71"/>
      <c r="L771" s="71"/>
    </row>
    <row r="772" spans="6:12" x14ac:dyDescent="0.3">
      <c r="F772" s="50"/>
      <c r="G772" s="51"/>
      <c r="H772" s="49"/>
      <c r="I772" s="70"/>
      <c r="J772" s="70"/>
      <c r="K772" s="71"/>
      <c r="L772" s="71"/>
    </row>
    <row r="773" spans="6:12" x14ac:dyDescent="0.3">
      <c r="F773" s="50"/>
      <c r="G773" s="51"/>
      <c r="H773" s="49"/>
      <c r="I773" s="70"/>
      <c r="J773" s="70"/>
      <c r="K773" s="71"/>
      <c r="L773" s="71"/>
    </row>
    <row r="774" spans="6:12" x14ac:dyDescent="0.3">
      <c r="F774" s="50"/>
      <c r="G774" s="51"/>
      <c r="H774" s="49"/>
      <c r="I774" s="70"/>
      <c r="J774" s="70"/>
      <c r="K774" s="71"/>
      <c r="L774" s="71"/>
    </row>
    <row r="775" spans="6:12" x14ac:dyDescent="0.3">
      <c r="F775" s="50"/>
      <c r="G775" s="51"/>
      <c r="H775" s="49"/>
      <c r="I775" s="70"/>
      <c r="J775" s="70"/>
      <c r="K775" s="71"/>
      <c r="L775" s="71"/>
    </row>
    <row r="776" spans="6:12" x14ac:dyDescent="0.3">
      <c r="F776" s="50"/>
      <c r="G776" s="51"/>
      <c r="H776" s="49"/>
      <c r="I776" s="70"/>
      <c r="J776" s="70"/>
      <c r="K776" s="71"/>
      <c r="L776" s="71"/>
    </row>
    <row r="777" spans="6:12" x14ac:dyDescent="0.3">
      <c r="F777" s="50"/>
      <c r="G777" s="51"/>
      <c r="H777" s="49"/>
      <c r="I777" s="70"/>
      <c r="J777" s="70"/>
      <c r="K777" s="71"/>
      <c r="L777" s="71"/>
    </row>
    <row r="778" spans="6:12" x14ac:dyDescent="0.3">
      <c r="F778" s="50"/>
      <c r="G778" s="51"/>
      <c r="H778" s="49"/>
      <c r="I778" s="70"/>
      <c r="J778" s="70"/>
      <c r="K778" s="71"/>
      <c r="L778" s="71"/>
    </row>
    <row r="779" spans="6:12" x14ac:dyDescent="0.3">
      <c r="F779" s="50"/>
      <c r="G779" s="51"/>
      <c r="H779" s="49"/>
      <c r="I779" s="70"/>
      <c r="J779" s="70"/>
      <c r="K779" s="71"/>
      <c r="L779" s="71"/>
    </row>
    <row r="780" spans="6:12" x14ac:dyDescent="0.3">
      <c r="F780" s="50"/>
      <c r="G780" s="51"/>
      <c r="H780" s="49"/>
      <c r="I780" s="70"/>
      <c r="J780" s="70"/>
      <c r="K780" s="71"/>
      <c r="L780" s="71"/>
    </row>
    <row r="781" spans="6:12" x14ac:dyDescent="0.3">
      <c r="F781" s="50"/>
      <c r="G781" s="51"/>
      <c r="H781" s="49"/>
      <c r="I781" s="70"/>
      <c r="J781" s="70"/>
      <c r="K781" s="71"/>
      <c r="L781" s="71"/>
    </row>
    <row r="782" spans="6:12" x14ac:dyDescent="0.3">
      <c r="F782" s="50"/>
      <c r="G782" s="51"/>
      <c r="H782" s="49"/>
      <c r="I782" s="70"/>
      <c r="J782" s="70"/>
      <c r="K782" s="71"/>
      <c r="L782" s="71"/>
    </row>
    <row r="783" spans="6:12" x14ac:dyDescent="0.3">
      <c r="F783" s="50"/>
      <c r="G783" s="51"/>
      <c r="H783" s="49"/>
      <c r="I783" s="70"/>
      <c r="J783" s="70"/>
      <c r="K783" s="71"/>
      <c r="L783" s="71"/>
    </row>
    <row r="784" spans="6:12" x14ac:dyDescent="0.3">
      <c r="F784" s="50"/>
      <c r="G784" s="51"/>
      <c r="H784" s="49"/>
      <c r="I784" s="70"/>
      <c r="J784" s="70"/>
      <c r="K784" s="71"/>
      <c r="L784" s="71"/>
    </row>
    <row r="785" spans="6:12" x14ac:dyDescent="0.3">
      <c r="F785" s="50"/>
      <c r="G785" s="51"/>
      <c r="H785" s="49"/>
      <c r="I785" s="70"/>
      <c r="J785" s="70"/>
      <c r="K785" s="71"/>
      <c r="L785" s="71"/>
    </row>
    <row r="786" spans="6:12" x14ac:dyDescent="0.3">
      <c r="F786" s="50"/>
      <c r="G786" s="51"/>
      <c r="H786" s="49"/>
      <c r="I786" s="70"/>
      <c r="J786" s="70"/>
      <c r="K786" s="71"/>
      <c r="L786" s="71"/>
    </row>
    <row r="787" spans="6:12" x14ac:dyDescent="0.3">
      <c r="F787" s="50"/>
      <c r="G787" s="51"/>
      <c r="H787" s="49"/>
      <c r="I787" s="70"/>
      <c r="J787" s="70"/>
      <c r="K787" s="71"/>
      <c r="L787" s="71"/>
    </row>
    <row r="788" spans="6:12" x14ac:dyDescent="0.3">
      <c r="F788" s="50"/>
      <c r="G788" s="51"/>
      <c r="H788" s="49"/>
      <c r="I788" s="70"/>
      <c r="J788" s="70"/>
      <c r="K788" s="71"/>
      <c r="L788" s="71"/>
    </row>
    <row r="789" spans="6:12" x14ac:dyDescent="0.3">
      <c r="F789" s="50"/>
      <c r="G789" s="51"/>
      <c r="H789" s="49"/>
      <c r="I789" s="70"/>
      <c r="J789" s="70"/>
      <c r="K789" s="71"/>
      <c r="L789" s="71"/>
    </row>
    <row r="790" spans="6:12" x14ac:dyDescent="0.3">
      <c r="F790" s="50"/>
      <c r="G790" s="51"/>
      <c r="H790" s="49"/>
      <c r="I790" s="70"/>
      <c r="J790" s="70"/>
      <c r="K790" s="71"/>
      <c r="L790" s="71"/>
    </row>
    <row r="791" spans="6:12" x14ac:dyDescent="0.3">
      <c r="F791" s="50"/>
      <c r="G791" s="51"/>
      <c r="H791" s="49"/>
      <c r="I791" s="70"/>
      <c r="J791" s="70"/>
      <c r="K791" s="71"/>
      <c r="L791" s="71"/>
    </row>
    <row r="792" spans="6:12" x14ac:dyDescent="0.3">
      <c r="F792" s="50"/>
      <c r="G792" s="51"/>
      <c r="H792" s="49"/>
      <c r="I792" s="70"/>
      <c r="J792" s="70"/>
      <c r="K792" s="71"/>
      <c r="L792" s="71"/>
    </row>
    <row r="793" spans="6:12" x14ac:dyDescent="0.3">
      <c r="F793" s="50"/>
      <c r="G793" s="51"/>
      <c r="H793" s="49"/>
      <c r="I793" s="70"/>
      <c r="J793" s="70"/>
      <c r="K793" s="71"/>
      <c r="L793" s="71"/>
    </row>
    <row r="794" spans="6:12" x14ac:dyDescent="0.3">
      <c r="F794" s="50"/>
      <c r="G794" s="51"/>
      <c r="H794" s="49"/>
      <c r="I794" s="70"/>
      <c r="J794" s="70"/>
      <c r="K794" s="71"/>
      <c r="L794" s="71"/>
    </row>
    <row r="795" spans="6:12" x14ac:dyDescent="0.3">
      <c r="F795" s="50"/>
      <c r="G795" s="51"/>
      <c r="H795" s="49"/>
      <c r="I795" s="70"/>
      <c r="J795" s="70"/>
      <c r="K795" s="71"/>
      <c r="L795" s="71"/>
    </row>
    <row r="796" spans="6:12" x14ac:dyDescent="0.3">
      <c r="F796" s="50"/>
      <c r="G796" s="51"/>
      <c r="H796" s="49"/>
      <c r="I796" s="70"/>
      <c r="J796" s="70"/>
      <c r="K796" s="71"/>
      <c r="L796" s="71"/>
    </row>
    <row r="797" spans="6:12" x14ac:dyDescent="0.3">
      <c r="F797" s="50"/>
      <c r="G797" s="51"/>
      <c r="H797" s="49"/>
      <c r="I797" s="70"/>
      <c r="J797" s="70"/>
      <c r="K797" s="71"/>
      <c r="L797" s="71"/>
    </row>
    <row r="798" spans="6:12" x14ac:dyDescent="0.3">
      <c r="F798" s="50"/>
      <c r="G798" s="51"/>
      <c r="H798" s="49"/>
      <c r="I798" s="70"/>
      <c r="J798" s="70"/>
      <c r="K798" s="71"/>
      <c r="L798" s="71"/>
    </row>
    <row r="799" spans="6:12" x14ac:dyDescent="0.3">
      <c r="F799" s="50"/>
      <c r="G799" s="51"/>
      <c r="H799" s="49"/>
      <c r="I799" s="70"/>
      <c r="J799" s="70"/>
      <c r="K799" s="71"/>
      <c r="L799" s="71"/>
    </row>
    <row r="800" spans="6:12" x14ac:dyDescent="0.3">
      <c r="F800" s="50"/>
      <c r="G800" s="51"/>
      <c r="H800" s="49"/>
      <c r="I800" s="70"/>
      <c r="J800" s="70"/>
      <c r="K800" s="71"/>
      <c r="L800" s="71"/>
    </row>
    <row r="801" spans="6:12" x14ac:dyDescent="0.3">
      <c r="F801" s="50"/>
      <c r="G801" s="51"/>
      <c r="H801" s="49"/>
      <c r="I801" s="70"/>
      <c r="J801" s="70"/>
      <c r="K801" s="71"/>
      <c r="L801" s="71"/>
    </row>
    <row r="802" spans="6:12" x14ac:dyDescent="0.3">
      <c r="F802" s="50"/>
      <c r="G802" s="51"/>
      <c r="H802" s="49"/>
      <c r="I802" s="70"/>
      <c r="J802" s="70"/>
      <c r="K802" s="71"/>
      <c r="L802" s="71"/>
    </row>
    <row r="803" spans="6:12" x14ac:dyDescent="0.3">
      <c r="F803" s="50"/>
      <c r="G803" s="51"/>
      <c r="H803" s="49"/>
      <c r="I803" s="70"/>
      <c r="J803" s="70"/>
      <c r="K803" s="71"/>
      <c r="L803" s="71"/>
    </row>
    <row r="804" spans="6:12" x14ac:dyDescent="0.3">
      <c r="F804" s="50"/>
      <c r="G804" s="51"/>
      <c r="H804" s="49"/>
      <c r="I804" s="70"/>
      <c r="J804" s="70"/>
      <c r="K804" s="71"/>
      <c r="L804" s="71"/>
    </row>
    <row r="805" spans="6:12" x14ac:dyDescent="0.3">
      <c r="F805" s="50"/>
      <c r="G805" s="51"/>
      <c r="H805" s="49"/>
      <c r="I805" s="70"/>
      <c r="J805" s="70"/>
      <c r="K805" s="71"/>
      <c r="L805" s="71"/>
    </row>
    <row r="806" spans="6:12" x14ac:dyDescent="0.3">
      <c r="F806" s="50"/>
      <c r="G806" s="51"/>
      <c r="H806" s="49"/>
      <c r="I806" s="70"/>
      <c r="J806" s="70"/>
      <c r="K806" s="71"/>
      <c r="L806" s="71"/>
    </row>
    <row r="807" spans="6:12" x14ac:dyDescent="0.3">
      <c r="F807" s="50"/>
      <c r="G807" s="51"/>
      <c r="H807" s="49"/>
      <c r="I807" s="70"/>
      <c r="J807" s="70"/>
      <c r="K807" s="71"/>
      <c r="L807" s="71"/>
    </row>
    <row r="808" spans="6:12" x14ac:dyDescent="0.3">
      <c r="F808" s="50"/>
      <c r="G808" s="51"/>
      <c r="H808" s="49"/>
      <c r="I808" s="70"/>
      <c r="J808" s="70"/>
      <c r="K808" s="71"/>
      <c r="L808" s="71"/>
    </row>
    <row r="809" spans="6:12" x14ac:dyDescent="0.3">
      <c r="F809" s="50"/>
      <c r="G809" s="51"/>
      <c r="H809" s="49"/>
      <c r="I809" s="70"/>
      <c r="J809" s="70"/>
      <c r="K809" s="71"/>
      <c r="L809" s="71"/>
    </row>
    <row r="810" spans="6:12" x14ac:dyDescent="0.3">
      <c r="F810" s="50"/>
      <c r="G810" s="51"/>
      <c r="H810" s="49"/>
      <c r="I810" s="70"/>
      <c r="J810" s="70"/>
      <c r="K810" s="71"/>
      <c r="L810" s="71"/>
    </row>
    <row r="811" spans="6:12" x14ac:dyDescent="0.3">
      <c r="F811" s="50"/>
      <c r="G811" s="51"/>
      <c r="H811" s="49"/>
      <c r="I811" s="70"/>
      <c r="J811" s="70"/>
      <c r="K811" s="71"/>
      <c r="L811" s="71"/>
    </row>
    <row r="812" spans="6:12" x14ac:dyDescent="0.3">
      <c r="F812" s="50"/>
      <c r="G812" s="51"/>
      <c r="H812" s="49"/>
      <c r="I812" s="70"/>
      <c r="J812" s="70"/>
      <c r="K812" s="71"/>
      <c r="L812" s="71"/>
    </row>
    <row r="813" spans="6:12" x14ac:dyDescent="0.3">
      <c r="F813" s="50"/>
      <c r="G813" s="51"/>
      <c r="H813" s="49"/>
      <c r="I813" s="70"/>
      <c r="J813" s="70"/>
      <c r="K813" s="71"/>
      <c r="L813" s="71"/>
    </row>
    <row r="814" spans="6:12" x14ac:dyDescent="0.3">
      <c r="F814" s="50"/>
      <c r="G814" s="51"/>
      <c r="H814" s="49"/>
      <c r="I814" s="70"/>
      <c r="J814" s="70"/>
      <c r="K814" s="71"/>
      <c r="L814" s="71"/>
    </row>
    <row r="815" spans="6:12" x14ac:dyDescent="0.3">
      <c r="F815" s="50"/>
      <c r="G815" s="51"/>
      <c r="H815" s="49"/>
      <c r="I815" s="70"/>
      <c r="J815" s="70"/>
      <c r="K815" s="71"/>
      <c r="L815" s="71"/>
    </row>
    <row r="816" spans="6:12" x14ac:dyDescent="0.3">
      <c r="F816" s="50"/>
      <c r="G816" s="51"/>
      <c r="H816" s="49"/>
      <c r="I816" s="70"/>
      <c r="J816" s="70"/>
      <c r="K816" s="71"/>
      <c r="L816" s="71"/>
    </row>
    <row r="817" spans="6:12" x14ac:dyDescent="0.3">
      <c r="F817" s="50"/>
      <c r="G817" s="51"/>
      <c r="H817" s="49"/>
      <c r="I817" s="70"/>
      <c r="J817" s="70"/>
      <c r="K817" s="71"/>
      <c r="L817" s="71"/>
    </row>
    <row r="818" spans="6:12" x14ac:dyDescent="0.3">
      <c r="F818" s="50"/>
      <c r="G818" s="51"/>
      <c r="H818" s="49"/>
      <c r="I818" s="70"/>
      <c r="J818" s="70"/>
      <c r="K818" s="71"/>
      <c r="L818" s="71"/>
    </row>
    <row r="819" spans="6:12" x14ac:dyDescent="0.3">
      <c r="F819" s="50"/>
      <c r="G819" s="51"/>
      <c r="H819" s="49"/>
      <c r="I819" s="70"/>
      <c r="J819" s="70"/>
      <c r="K819" s="71"/>
      <c r="L819" s="71"/>
    </row>
    <row r="820" spans="6:12" x14ac:dyDescent="0.3">
      <c r="F820" s="50"/>
      <c r="G820" s="51"/>
      <c r="H820" s="49"/>
      <c r="I820" s="70"/>
      <c r="J820" s="70"/>
      <c r="K820" s="71"/>
      <c r="L820" s="71"/>
    </row>
    <row r="821" spans="6:12" x14ac:dyDescent="0.3">
      <c r="F821" s="50"/>
      <c r="G821" s="51"/>
      <c r="H821" s="49"/>
      <c r="I821" s="70"/>
      <c r="J821" s="70"/>
      <c r="K821" s="71"/>
      <c r="L821" s="71"/>
    </row>
    <row r="822" spans="6:12" x14ac:dyDescent="0.3">
      <c r="F822" s="50"/>
      <c r="G822" s="51"/>
      <c r="H822" s="49"/>
      <c r="I822" s="70"/>
      <c r="J822" s="70"/>
      <c r="K822" s="71"/>
      <c r="L822" s="71"/>
    </row>
    <row r="823" spans="6:12" x14ac:dyDescent="0.3">
      <c r="F823" s="50"/>
      <c r="G823" s="51"/>
      <c r="H823" s="49"/>
      <c r="I823" s="70"/>
      <c r="J823" s="70"/>
      <c r="K823" s="71"/>
      <c r="L823" s="71"/>
    </row>
    <row r="824" spans="6:12" x14ac:dyDescent="0.3">
      <c r="F824" s="50"/>
      <c r="G824" s="51"/>
      <c r="H824" s="49"/>
      <c r="I824" s="70"/>
      <c r="J824" s="70"/>
      <c r="K824" s="71"/>
      <c r="L824" s="71"/>
    </row>
    <row r="825" spans="6:12" x14ac:dyDescent="0.3">
      <c r="F825" s="50"/>
      <c r="G825" s="51"/>
      <c r="H825" s="49"/>
      <c r="I825" s="70"/>
      <c r="J825" s="70"/>
      <c r="K825" s="71"/>
      <c r="L825" s="71"/>
    </row>
    <row r="826" spans="6:12" x14ac:dyDescent="0.3">
      <c r="F826" s="50"/>
      <c r="G826" s="51"/>
      <c r="H826" s="49"/>
      <c r="I826" s="70"/>
      <c r="J826" s="70"/>
      <c r="K826" s="71"/>
      <c r="L826" s="71"/>
    </row>
    <row r="827" spans="6:12" x14ac:dyDescent="0.3">
      <c r="F827" s="50"/>
      <c r="G827" s="51"/>
      <c r="H827" s="49"/>
      <c r="I827" s="70"/>
      <c r="J827" s="70"/>
      <c r="K827" s="71"/>
      <c r="L827" s="71"/>
    </row>
    <row r="828" spans="6:12" x14ac:dyDescent="0.3">
      <c r="F828" s="50"/>
      <c r="G828" s="51"/>
      <c r="H828" s="49"/>
      <c r="I828" s="70"/>
      <c r="J828" s="70"/>
      <c r="K828" s="71"/>
      <c r="L828" s="71"/>
    </row>
    <row r="829" spans="6:12" x14ac:dyDescent="0.3">
      <c r="F829" s="50"/>
      <c r="G829" s="51"/>
      <c r="H829" s="49"/>
      <c r="I829" s="70"/>
      <c r="J829" s="70"/>
      <c r="K829" s="71"/>
      <c r="L829" s="71"/>
    </row>
    <row r="830" spans="6:12" x14ac:dyDescent="0.3">
      <c r="F830" s="50"/>
      <c r="G830" s="51"/>
      <c r="H830" s="49"/>
      <c r="I830" s="70"/>
      <c r="J830" s="70"/>
      <c r="K830" s="71"/>
      <c r="L830" s="71"/>
    </row>
    <row r="831" spans="6:12" x14ac:dyDescent="0.3">
      <c r="F831" s="50"/>
      <c r="G831" s="51"/>
      <c r="H831" s="49"/>
      <c r="I831" s="70"/>
      <c r="J831" s="70"/>
      <c r="K831" s="71"/>
      <c r="L831" s="71"/>
    </row>
    <row r="832" spans="6:12" x14ac:dyDescent="0.3">
      <c r="F832" s="50"/>
      <c r="G832" s="51"/>
      <c r="H832" s="49"/>
      <c r="I832" s="70"/>
      <c r="J832" s="70"/>
      <c r="K832" s="71"/>
      <c r="L832" s="71"/>
    </row>
    <row r="833" spans="6:12" x14ac:dyDescent="0.3">
      <c r="F833" s="50"/>
      <c r="G833" s="51"/>
      <c r="H833" s="49"/>
      <c r="I833" s="70"/>
      <c r="J833" s="70"/>
      <c r="K833" s="71"/>
      <c r="L833" s="71"/>
    </row>
    <row r="834" spans="6:12" x14ac:dyDescent="0.3">
      <c r="F834" s="50"/>
      <c r="G834" s="51"/>
      <c r="H834" s="49"/>
      <c r="I834" s="70"/>
      <c r="J834" s="70"/>
      <c r="K834" s="71"/>
      <c r="L834" s="71"/>
    </row>
    <row r="835" spans="6:12" x14ac:dyDescent="0.3">
      <c r="F835" s="50"/>
      <c r="G835" s="51"/>
      <c r="H835" s="49"/>
      <c r="I835" s="70"/>
      <c r="J835" s="70"/>
      <c r="K835" s="71"/>
      <c r="L835" s="71"/>
    </row>
    <row r="836" spans="6:12" x14ac:dyDescent="0.3">
      <c r="F836" s="50"/>
      <c r="G836" s="51"/>
      <c r="H836" s="49"/>
      <c r="I836" s="70"/>
      <c r="J836" s="70"/>
      <c r="K836" s="71"/>
      <c r="L836" s="71"/>
    </row>
    <row r="837" spans="6:12" x14ac:dyDescent="0.3">
      <c r="F837" s="50"/>
      <c r="G837" s="51"/>
      <c r="H837" s="49"/>
      <c r="I837" s="70"/>
      <c r="J837" s="70"/>
      <c r="K837" s="71"/>
      <c r="L837" s="71"/>
    </row>
    <row r="838" spans="6:12" x14ac:dyDescent="0.3">
      <c r="F838" s="50"/>
      <c r="G838" s="51"/>
      <c r="H838" s="49"/>
      <c r="I838" s="70"/>
      <c r="J838" s="70"/>
      <c r="K838" s="71"/>
      <c r="L838" s="71"/>
    </row>
    <row r="839" spans="6:12" x14ac:dyDescent="0.3">
      <c r="F839" s="50"/>
      <c r="G839" s="51"/>
      <c r="H839" s="49"/>
      <c r="I839" s="70"/>
      <c r="J839" s="70"/>
      <c r="K839" s="71"/>
      <c r="L839" s="71"/>
    </row>
    <row r="840" spans="6:12" x14ac:dyDescent="0.3">
      <c r="F840" s="50"/>
      <c r="G840" s="51"/>
      <c r="H840" s="49"/>
      <c r="I840" s="70"/>
      <c r="J840" s="70"/>
      <c r="K840" s="71"/>
      <c r="L840" s="71"/>
    </row>
    <row r="841" spans="6:12" x14ac:dyDescent="0.3">
      <c r="F841" s="50"/>
      <c r="G841" s="51"/>
      <c r="H841" s="49"/>
      <c r="I841" s="70"/>
      <c r="J841" s="70"/>
      <c r="K841" s="71"/>
      <c r="L841" s="71"/>
    </row>
    <row r="842" spans="6:12" x14ac:dyDescent="0.3">
      <c r="F842" s="50"/>
      <c r="G842" s="51"/>
      <c r="H842" s="49"/>
      <c r="I842" s="70"/>
      <c r="J842" s="70"/>
      <c r="K842" s="71"/>
      <c r="L842" s="71"/>
    </row>
    <row r="843" spans="6:12" x14ac:dyDescent="0.3">
      <c r="F843" s="50"/>
      <c r="G843" s="51"/>
      <c r="H843" s="49"/>
      <c r="I843" s="70"/>
      <c r="J843" s="70"/>
      <c r="K843" s="71"/>
      <c r="L843" s="71"/>
    </row>
    <row r="844" spans="6:12" x14ac:dyDescent="0.3">
      <c r="F844" s="50"/>
      <c r="G844" s="51"/>
      <c r="H844" s="49"/>
      <c r="I844" s="70"/>
      <c r="J844" s="70"/>
      <c r="K844" s="71"/>
      <c r="L844" s="71"/>
    </row>
    <row r="845" spans="6:12" x14ac:dyDescent="0.3">
      <c r="F845" s="50"/>
      <c r="G845" s="51"/>
      <c r="H845" s="49"/>
      <c r="I845" s="70"/>
      <c r="J845" s="70"/>
      <c r="K845" s="71"/>
      <c r="L845" s="71"/>
    </row>
    <row r="846" spans="6:12" x14ac:dyDescent="0.3">
      <c r="F846" s="50"/>
      <c r="G846" s="51"/>
      <c r="H846" s="49"/>
      <c r="I846" s="70"/>
      <c r="J846" s="70"/>
      <c r="K846" s="71"/>
      <c r="L846" s="71"/>
    </row>
    <row r="847" spans="6:12" x14ac:dyDescent="0.3">
      <c r="F847" s="50"/>
      <c r="G847" s="51"/>
      <c r="H847" s="49"/>
      <c r="I847" s="70"/>
      <c r="J847" s="70"/>
      <c r="K847" s="71"/>
      <c r="L847" s="71"/>
    </row>
    <row r="848" spans="6:12" x14ac:dyDescent="0.3">
      <c r="F848" s="50"/>
      <c r="G848" s="51"/>
      <c r="H848" s="49"/>
      <c r="I848" s="70"/>
      <c r="J848" s="70"/>
      <c r="K848" s="71"/>
      <c r="L848" s="71"/>
    </row>
    <row r="849" spans="6:12" x14ac:dyDescent="0.3">
      <c r="F849" s="50"/>
      <c r="G849" s="51"/>
      <c r="H849" s="49"/>
      <c r="I849" s="70"/>
      <c r="J849" s="70"/>
      <c r="K849" s="71"/>
      <c r="L849" s="71"/>
    </row>
    <row r="850" spans="6:12" x14ac:dyDescent="0.3">
      <c r="F850" s="50"/>
      <c r="G850" s="51"/>
      <c r="H850" s="49"/>
      <c r="I850" s="70"/>
      <c r="J850" s="70"/>
      <c r="K850" s="71"/>
      <c r="L850" s="71"/>
    </row>
    <row r="851" spans="6:12" x14ac:dyDescent="0.3">
      <c r="F851" s="50"/>
      <c r="G851" s="51"/>
      <c r="H851" s="49"/>
      <c r="I851" s="70"/>
      <c r="J851" s="70"/>
      <c r="K851" s="71"/>
      <c r="L851" s="71"/>
    </row>
    <row r="852" spans="6:12" x14ac:dyDescent="0.3">
      <c r="F852" s="50"/>
      <c r="G852" s="51"/>
      <c r="H852" s="49"/>
      <c r="I852" s="70"/>
      <c r="J852" s="70"/>
      <c r="K852" s="71"/>
      <c r="L852" s="71"/>
    </row>
    <row r="853" spans="6:12" x14ac:dyDescent="0.3">
      <c r="F853" s="50"/>
      <c r="G853" s="51"/>
      <c r="H853" s="49"/>
      <c r="I853" s="70"/>
      <c r="J853" s="70"/>
      <c r="K853" s="71"/>
      <c r="L853" s="71"/>
    </row>
    <row r="854" spans="6:12" x14ac:dyDescent="0.3">
      <c r="F854" s="50"/>
      <c r="G854" s="51"/>
      <c r="H854" s="49"/>
      <c r="I854" s="70"/>
      <c r="J854" s="70"/>
      <c r="K854" s="71"/>
      <c r="L854" s="71"/>
    </row>
    <row r="855" spans="6:12" x14ac:dyDescent="0.3">
      <c r="F855" s="50"/>
      <c r="G855" s="51"/>
      <c r="H855" s="49"/>
      <c r="I855" s="70"/>
      <c r="J855" s="70"/>
      <c r="K855" s="71"/>
      <c r="L855" s="71"/>
    </row>
    <row r="856" spans="6:12" x14ac:dyDescent="0.3">
      <c r="F856" s="50"/>
      <c r="G856" s="51"/>
      <c r="H856" s="49"/>
      <c r="I856" s="70"/>
      <c r="J856" s="70"/>
      <c r="K856" s="71"/>
      <c r="L856" s="71"/>
    </row>
    <row r="857" spans="6:12" x14ac:dyDescent="0.3">
      <c r="F857" s="50"/>
      <c r="G857" s="51"/>
      <c r="H857" s="49"/>
      <c r="I857" s="70"/>
      <c r="J857" s="70"/>
      <c r="K857" s="71"/>
      <c r="L857" s="71"/>
    </row>
    <row r="858" spans="6:12" x14ac:dyDescent="0.3">
      <c r="F858" s="50"/>
      <c r="G858" s="51"/>
      <c r="H858" s="49"/>
      <c r="I858" s="70"/>
      <c r="J858" s="70"/>
      <c r="K858" s="71"/>
      <c r="L858" s="71"/>
    </row>
    <row r="859" spans="6:12" x14ac:dyDescent="0.3">
      <c r="F859" s="50"/>
      <c r="G859" s="51"/>
      <c r="H859" s="49"/>
      <c r="I859" s="70"/>
      <c r="J859" s="70"/>
      <c r="K859" s="71"/>
      <c r="L859" s="71"/>
    </row>
    <row r="860" spans="6:12" x14ac:dyDescent="0.3">
      <c r="F860" s="50"/>
      <c r="G860" s="51"/>
      <c r="H860" s="49"/>
      <c r="I860" s="70"/>
      <c r="J860" s="70"/>
      <c r="K860" s="71"/>
      <c r="L860" s="71"/>
    </row>
    <row r="861" spans="6:12" x14ac:dyDescent="0.3">
      <c r="F861" s="50"/>
      <c r="G861" s="51"/>
      <c r="H861" s="49"/>
      <c r="I861" s="70"/>
      <c r="J861" s="70"/>
      <c r="K861" s="71"/>
      <c r="L861" s="71"/>
    </row>
    <row r="862" spans="6:12" x14ac:dyDescent="0.3">
      <c r="F862" s="50"/>
      <c r="G862" s="51"/>
      <c r="H862" s="49"/>
      <c r="I862" s="70"/>
      <c r="J862" s="70"/>
      <c r="K862" s="71"/>
      <c r="L862" s="71"/>
    </row>
    <row r="863" spans="6:12" x14ac:dyDescent="0.3">
      <c r="F863" s="50"/>
      <c r="G863" s="51"/>
      <c r="H863" s="49"/>
      <c r="I863" s="70"/>
      <c r="J863" s="70"/>
      <c r="K863" s="71"/>
      <c r="L863" s="71"/>
    </row>
    <row r="864" spans="6:12" x14ac:dyDescent="0.3">
      <c r="F864" s="50"/>
      <c r="G864" s="51"/>
      <c r="H864" s="49"/>
      <c r="I864" s="70"/>
      <c r="J864" s="70"/>
      <c r="K864" s="71"/>
      <c r="L864" s="71"/>
    </row>
    <row r="865" spans="6:12" x14ac:dyDescent="0.3">
      <c r="F865" s="50"/>
      <c r="G865" s="51"/>
      <c r="H865" s="49"/>
      <c r="I865" s="70"/>
      <c r="J865" s="70"/>
      <c r="K865" s="71"/>
      <c r="L865" s="71"/>
    </row>
    <row r="866" spans="6:12" x14ac:dyDescent="0.3">
      <c r="F866" s="50"/>
      <c r="G866" s="51"/>
      <c r="H866" s="49"/>
      <c r="I866" s="70"/>
      <c r="J866" s="70"/>
      <c r="K866" s="71"/>
      <c r="L866" s="71"/>
    </row>
    <row r="867" spans="6:12" x14ac:dyDescent="0.3">
      <c r="F867" s="50"/>
      <c r="G867" s="51"/>
      <c r="H867" s="49"/>
      <c r="I867" s="70"/>
      <c r="J867" s="70"/>
      <c r="K867" s="71"/>
      <c r="L867" s="71"/>
    </row>
    <row r="868" spans="6:12" x14ac:dyDescent="0.3">
      <c r="F868" s="50"/>
      <c r="G868" s="51"/>
      <c r="H868" s="49"/>
      <c r="I868" s="70"/>
      <c r="J868" s="70"/>
      <c r="K868" s="71"/>
      <c r="L868" s="71"/>
    </row>
    <row r="869" spans="6:12" x14ac:dyDescent="0.3">
      <c r="F869" s="50"/>
      <c r="G869" s="51"/>
      <c r="H869" s="49"/>
      <c r="I869" s="70"/>
      <c r="J869" s="70"/>
      <c r="K869" s="71"/>
      <c r="L869" s="71"/>
    </row>
    <row r="870" spans="6:12" x14ac:dyDescent="0.3">
      <c r="F870" s="50"/>
      <c r="G870" s="51"/>
      <c r="H870" s="49"/>
      <c r="I870" s="70"/>
      <c r="J870" s="70"/>
      <c r="K870" s="71"/>
      <c r="L870" s="71"/>
    </row>
    <row r="871" spans="6:12" x14ac:dyDescent="0.3">
      <c r="F871" s="50"/>
      <c r="G871" s="51"/>
      <c r="H871" s="49"/>
      <c r="I871" s="70"/>
      <c r="J871" s="70"/>
      <c r="K871" s="71"/>
      <c r="L871" s="71"/>
    </row>
    <row r="872" spans="6:12" x14ac:dyDescent="0.3">
      <c r="F872" s="50"/>
      <c r="G872" s="51"/>
      <c r="H872" s="49"/>
      <c r="I872" s="70"/>
      <c r="J872" s="70"/>
      <c r="K872" s="71"/>
      <c r="L872" s="71"/>
    </row>
    <row r="873" spans="6:12" x14ac:dyDescent="0.3">
      <c r="F873" s="50"/>
      <c r="G873" s="51"/>
      <c r="H873" s="49"/>
      <c r="I873" s="70"/>
      <c r="J873" s="70"/>
      <c r="K873" s="71"/>
      <c r="L873" s="71"/>
    </row>
    <row r="874" spans="6:12" x14ac:dyDescent="0.3">
      <c r="F874" s="50"/>
      <c r="G874" s="51"/>
      <c r="H874" s="49"/>
      <c r="I874" s="70"/>
      <c r="J874" s="70"/>
      <c r="K874" s="71"/>
      <c r="L874" s="71"/>
    </row>
    <row r="875" spans="6:12" x14ac:dyDescent="0.3">
      <c r="F875" s="50"/>
      <c r="G875" s="51"/>
      <c r="H875" s="49"/>
      <c r="I875" s="70"/>
      <c r="J875" s="70"/>
      <c r="K875" s="71"/>
      <c r="L875" s="71"/>
    </row>
    <row r="876" spans="6:12" x14ac:dyDescent="0.3">
      <c r="F876" s="50"/>
      <c r="G876" s="51"/>
      <c r="H876" s="49"/>
      <c r="I876" s="70"/>
      <c r="J876" s="70"/>
      <c r="K876" s="71"/>
      <c r="L876" s="71"/>
    </row>
    <row r="877" spans="6:12" x14ac:dyDescent="0.3">
      <c r="F877" s="50"/>
      <c r="G877" s="51"/>
      <c r="H877" s="49"/>
      <c r="I877" s="70"/>
      <c r="J877" s="70"/>
      <c r="K877" s="71"/>
      <c r="L877" s="71"/>
    </row>
    <row r="878" spans="6:12" x14ac:dyDescent="0.3">
      <c r="F878" s="50"/>
      <c r="G878" s="51"/>
      <c r="H878" s="49"/>
      <c r="I878" s="70"/>
      <c r="J878" s="70"/>
      <c r="K878" s="71"/>
      <c r="L878" s="71"/>
    </row>
    <row r="879" spans="6:12" x14ac:dyDescent="0.3">
      <c r="F879" s="50"/>
      <c r="G879" s="51"/>
      <c r="H879" s="49"/>
      <c r="I879" s="70"/>
      <c r="J879" s="70"/>
      <c r="K879" s="71"/>
      <c r="L879" s="71"/>
    </row>
    <row r="880" spans="6:12" x14ac:dyDescent="0.3">
      <c r="F880" s="50"/>
      <c r="G880" s="51"/>
      <c r="H880" s="49"/>
      <c r="I880" s="70"/>
      <c r="J880" s="70"/>
      <c r="K880" s="71"/>
      <c r="L880" s="71"/>
    </row>
    <row r="881" spans="6:12" x14ac:dyDescent="0.3">
      <c r="F881" s="50"/>
      <c r="G881" s="51"/>
      <c r="H881" s="49"/>
      <c r="I881" s="70"/>
      <c r="J881" s="70"/>
      <c r="K881" s="71"/>
      <c r="L881" s="71"/>
    </row>
    <row r="882" spans="6:12" x14ac:dyDescent="0.3">
      <c r="F882" s="50"/>
      <c r="G882" s="51"/>
      <c r="H882" s="49"/>
      <c r="I882" s="70"/>
      <c r="J882" s="70"/>
      <c r="K882" s="71"/>
      <c r="L882" s="71"/>
    </row>
    <row r="883" spans="6:12" x14ac:dyDescent="0.3">
      <c r="F883" s="50"/>
      <c r="G883" s="51"/>
      <c r="H883" s="49"/>
      <c r="I883" s="70"/>
      <c r="J883" s="70"/>
      <c r="K883" s="71"/>
      <c r="L883" s="71"/>
    </row>
    <row r="884" spans="6:12" x14ac:dyDescent="0.3">
      <c r="F884" s="50"/>
      <c r="G884" s="51"/>
      <c r="H884" s="49"/>
      <c r="I884" s="70"/>
      <c r="J884" s="70"/>
      <c r="K884" s="71"/>
      <c r="L884" s="71"/>
    </row>
    <row r="885" spans="6:12" x14ac:dyDescent="0.3">
      <c r="F885" s="50"/>
      <c r="G885" s="51"/>
      <c r="H885" s="49"/>
      <c r="I885" s="70"/>
      <c r="J885" s="70"/>
      <c r="K885" s="71"/>
      <c r="L885" s="71"/>
    </row>
    <row r="886" spans="6:12" x14ac:dyDescent="0.3">
      <c r="F886" s="50"/>
      <c r="G886" s="51"/>
      <c r="H886" s="49"/>
      <c r="I886" s="70"/>
      <c r="J886" s="70"/>
      <c r="K886" s="71"/>
      <c r="L886" s="71"/>
    </row>
    <row r="887" spans="6:12" x14ac:dyDescent="0.3">
      <c r="F887" s="50"/>
      <c r="G887" s="51"/>
      <c r="H887" s="49"/>
      <c r="I887" s="70"/>
      <c r="J887" s="70"/>
      <c r="K887" s="71"/>
      <c r="L887" s="71"/>
    </row>
    <row r="888" spans="6:12" x14ac:dyDescent="0.3">
      <c r="F888" s="50"/>
      <c r="G888" s="51"/>
      <c r="H888" s="49"/>
      <c r="I888" s="70"/>
      <c r="J888" s="70"/>
      <c r="K888" s="71"/>
      <c r="L888" s="71"/>
    </row>
    <row r="889" spans="6:12" x14ac:dyDescent="0.3">
      <c r="F889" s="50"/>
      <c r="G889" s="51"/>
      <c r="H889" s="49"/>
      <c r="I889" s="70"/>
      <c r="J889" s="70"/>
      <c r="K889" s="71"/>
      <c r="L889" s="71"/>
    </row>
    <row r="890" spans="6:12" x14ac:dyDescent="0.3">
      <c r="F890" s="50"/>
      <c r="G890" s="51"/>
      <c r="H890" s="49"/>
      <c r="I890" s="70"/>
      <c r="J890" s="70"/>
      <c r="K890" s="71"/>
      <c r="L890" s="71"/>
    </row>
    <row r="891" spans="6:12" x14ac:dyDescent="0.3">
      <c r="F891" s="50"/>
      <c r="G891" s="51"/>
      <c r="H891" s="49"/>
      <c r="I891" s="70"/>
      <c r="J891" s="70"/>
      <c r="K891" s="71"/>
      <c r="L891" s="71"/>
    </row>
    <row r="892" spans="6:12" x14ac:dyDescent="0.3">
      <c r="F892" s="50"/>
      <c r="G892" s="51"/>
      <c r="H892" s="49"/>
      <c r="I892" s="70"/>
      <c r="J892" s="70"/>
      <c r="K892" s="71"/>
      <c r="L892" s="71"/>
    </row>
    <row r="893" spans="6:12" x14ac:dyDescent="0.3">
      <c r="F893" s="50"/>
      <c r="G893" s="51"/>
      <c r="H893" s="49"/>
      <c r="I893" s="70"/>
      <c r="J893" s="70"/>
      <c r="K893" s="71"/>
      <c r="L893" s="71"/>
    </row>
    <row r="894" spans="6:12" x14ac:dyDescent="0.3">
      <c r="F894" s="50"/>
      <c r="G894" s="51"/>
      <c r="H894" s="49"/>
      <c r="I894" s="70"/>
      <c r="J894" s="70"/>
      <c r="K894" s="71"/>
      <c r="L894" s="71"/>
    </row>
    <row r="895" spans="6:12" x14ac:dyDescent="0.3">
      <c r="F895" s="50"/>
      <c r="G895" s="51"/>
      <c r="H895" s="49"/>
      <c r="I895" s="70"/>
      <c r="J895" s="70"/>
      <c r="K895" s="71"/>
      <c r="L895" s="71"/>
    </row>
    <row r="896" spans="6:12" x14ac:dyDescent="0.3">
      <c r="F896" s="50"/>
      <c r="G896" s="51"/>
      <c r="H896" s="49"/>
      <c r="I896" s="70"/>
      <c r="J896" s="70"/>
      <c r="K896" s="71"/>
      <c r="L896" s="71"/>
    </row>
    <row r="897" spans="6:12" x14ac:dyDescent="0.3">
      <c r="F897" s="50"/>
      <c r="G897" s="51"/>
      <c r="H897" s="49"/>
      <c r="I897" s="70"/>
      <c r="J897" s="70"/>
      <c r="K897" s="71"/>
      <c r="L897" s="71"/>
    </row>
    <row r="898" spans="6:12" x14ac:dyDescent="0.3">
      <c r="F898" s="50"/>
      <c r="G898" s="51"/>
      <c r="H898" s="49"/>
      <c r="I898" s="70"/>
      <c r="J898" s="70"/>
      <c r="K898" s="71"/>
      <c r="L898" s="71"/>
    </row>
    <row r="899" spans="6:12" x14ac:dyDescent="0.3">
      <c r="F899" s="50"/>
      <c r="G899" s="51"/>
      <c r="H899" s="49"/>
      <c r="I899" s="70"/>
      <c r="J899" s="70"/>
      <c r="K899" s="71"/>
      <c r="L899" s="71"/>
    </row>
    <row r="900" spans="6:12" x14ac:dyDescent="0.3">
      <c r="F900" s="50"/>
      <c r="G900" s="51"/>
      <c r="H900" s="49"/>
      <c r="I900" s="70"/>
      <c r="J900" s="70"/>
      <c r="K900" s="71"/>
      <c r="L900" s="71"/>
    </row>
    <row r="901" spans="6:12" x14ac:dyDescent="0.3">
      <c r="F901" s="50"/>
      <c r="G901" s="51"/>
      <c r="H901" s="49"/>
      <c r="I901" s="70"/>
      <c r="J901" s="70"/>
      <c r="K901" s="71"/>
      <c r="L901" s="71"/>
    </row>
    <row r="902" spans="6:12" x14ac:dyDescent="0.3">
      <c r="F902" s="50"/>
      <c r="G902" s="51"/>
      <c r="H902" s="49"/>
      <c r="I902" s="70"/>
      <c r="J902" s="70"/>
      <c r="K902" s="71"/>
      <c r="L902" s="71"/>
    </row>
    <row r="903" spans="6:12" x14ac:dyDescent="0.3">
      <c r="F903" s="50"/>
      <c r="G903" s="51"/>
      <c r="H903" s="49"/>
      <c r="I903" s="70"/>
      <c r="J903" s="70"/>
      <c r="K903" s="71"/>
      <c r="L903" s="71"/>
    </row>
    <row r="904" spans="6:12" x14ac:dyDescent="0.3">
      <c r="F904" s="50"/>
      <c r="G904" s="51"/>
      <c r="H904" s="49"/>
      <c r="I904" s="70"/>
      <c r="J904" s="70"/>
      <c r="K904" s="71"/>
      <c r="L904" s="71"/>
    </row>
    <row r="905" spans="6:12" x14ac:dyDescent="0.3">
      <c r="F905" s="50"/>
      <c r="G905" s="51"/>
      <c r="H905" s="49"/>
      <c r="I905" s="70"/>
      <c r="J905" s="70"/>
      <c r="K905" s="71"/>
      <c r="L905" s="71"/>
    </row>
    <row r="906" spans="6:12" x14ac:dyDescent="0.3">
      <c r="F906" s="50"/>
      <c r="G906" s="51"/>
      <c r="H906" s="49"/>
      <c r="I906" s="70"/>
      <c r="J906" s="70"/>
      <c r="K906" s="71"/>
      <c r="L906" s="71"/>
    </row>
    <row r="907" spans="6:12" x14ac:dyDescent="0.3">
      <c r="F907" s="50"/>
      <c r="G907" s="51"/>
      <c r="H907" s="49"/>
      <c r="I907" s="70"/>
      <c r="J907" s="70"/>
      <c r="K907" s="71"/>
      <c r="L907" s="71"/>
    </row>
    <row r="908" spans="6:12" x14ac:dyDescent="0.3">
      <c r="F908" s="50"/>
      <c r="G908" s="51"/>
      <c r="H908" s="49"/>
      <c r="I908" s="70"/>
      <c r="J908" s="70"/>
      <c r="K908" s="71"/>
      <c r="L908" s="71"/>
    </row>
    <row r="909" spans="6:12" x14ac:dyDescent="0.3">
      <c r="F909" s="50"/>
      <c r="G909" s="51"/>
      <c r="H909" s="49"/>
      <c r="I909" s="70"/>
      <c r="J909" s="70"/>
      <c r="K909" s="71"/>
      <c r="L909" s="71"/>
    </row>
    <row r="910" spans="6:12" x14ac:dyDescent="0.3">
      <c r="F910" s="50"/>
      <c r="G910" s="51"/>
      <c r="H910" s="49"/>
      <c r="I910" s="70"/>
      <c r="J910" s="70"/>
      <c r="K910" s="71"/>
      <c r="L910" s="71"/>
    </row>
    <row r="911" spans="6:12" x14ac:dyDescent="0.3">
      <c r="F911" s="50"/>
      <c r="G911" s="51"/>
      <c r="H911" s="49"/>
      <c r="I911" s="70"/>
      <c r="J911" s="70"/>
      <c r="K911" s="71"/>
      <c r="L911" s="71"/>
    </row>
    <row r="912" spans="6:12" x14ac:dyDescent="0.3">
      <c r="F912" s="50"/>
      <c r="G912" s="51"/>
      <c r="H912" s="49"/>
      <c r="I912" s="70"/>
      <c r="J912" s="70"/>
      <c r="K912" s="71"/>
      <c r="L912" s="71"/>
    </row>
    <row r="913" spans="6:12" x14ac:dyDescent="0.3">
      <c r="F913" s="50"/>
      <c r="G913" s="51"/>
      <c r="H913" s="49"/>
      <c r="I913" s="70"/>
      <c r="J913" s="70"/>
      <c r="K913" s="71"/>
      <c r="L913" s="71"/>
    </row>
    <row r="914" spans="6:12" x14ac:dyDescent="0.3">
      <c r="F914" s="50"/>
      <c r="G914" s="51"/>
      <c r="H914" s="49"/>
      <c r="I914" s="70"/>
      <c r="J914" s="70"/>
      <c r="K914" s="71"/>
      <c r="L914" s="71"/>
    </row>
    <row r="915" spans="6:12" x14ac:dyDescent="0.3">
      <c r="F915" s="50"/>
      <c r="G915" s="51"/>
      <c r="H915" s="49"/>
      <c r="I915" s="70"/>
      <c r="J915" s="70"/>
      <c r="K915" s="71"/>
      <c r="L915" s="71"/>
    </row>
    <row r="916" spans="6:12" x14ac:dyDescent="0.3">
      <c r="F916" s="50"/>
      <c r="G916" s="51"/>
      <c r="H916" s="49"/>
      <c r="I916" s="70"/>
      <c r="J916" s="70"/>
      <c r="K916" s="71"/>
      <c r="L916" s="71"/>
    </row>
    <row r="917" spans="6:12" x14ac:dyDescent="0.3">
      <c r="F917" s="50"/>
      <c r="G917" s="51"/>
      <c r="H917" s="49"/>
      <c r="I917" s="70"/>
      <c r="J917" s="70"/>
      <c r="K917" s="71"/>
      <c r="L917" s="71"/>
    </row>
    <row r="918" spans="6:12" x14ac:dyDescent="0.3">
      <c r="F918" s="50"/>
      <c r="G918" s="51"/>
      <c r="H918" s="49"/>
      <c r="I918" s="70"/>
      <c r="J918" s="70"/>
      <c r="K918" s="71"/>
      <c r="L918" s="71"/>
    </row>
    <row r="919" spans="6:12" x14ac:dyDescent="0.3">
      <c r="F919" s="50"/>
      <c r="G919" s="51"/>
      <c r="H919" s="49"/>
      <c r="I919" s="70"/>
      <c r="J919" s="70"/>
      <c r="K919" s="71"/>
      <c r="L919" s="71"/>
    </row>
    <row r="920" spans="6:12" x14ac:dyDescent="0.3">
      <c r="F920" s="50"/>
      <c r="G920" s="51"/>
      <c r="H920" s="49"/>
      <c r="I920" s="70"/>
      <c r="J920" s="70"/>
      <c r="K920" s="71"/>
      <c r="L920" s="71"/>
    </row>
    <row r="921" spans="6:12" x14ac:dyDescent="0.3">
      <c r="F921" s="50"/>
      <c r="G921" s="51"/>
      <c r="H921" s="49"/>
      <c r="I921" s="70"/>
      <c r="J921" s="70"/>
      <c r="K921" s="71"/>
      <c r="L921" s="71"/>
    </row>
    <row r="922" spans="6:12" x14ac:dyDescent="0.3">
      <c r="F922" s="50"/>
      <c r="G922" s="51"/>
      <c r="H922" s="49"/>
      <c r="I922" s="70"/>
      <c r="J922" s="70"/>
      <c r="K922" s="71"/>
      <c r="L922" s="71"/>
    </row>
    <row r="923" spans="6:12" x14ac:dyDescent="0.3">
      <c r="F923" s="50"/>
      <c r="G923" s="51"/>
      <c r="H923" s="49"/>
      <c r="I923" s="70"/>
      <c r="J923" s="70"/>
      <c r="K923" s="71"/>
      <c r="L923" s="71"/>
    </row>
    <row r="924" spans="6:12" x14ac:dyDescent="0.3">
      <c r="F924" s="50"/>
      <c r="G924" s="51"/>
      <c r="H924" s="49"/>
      <c r="I924" s="70"/>
      <c r="J924" s="70"/>
      <c r="K924" s="71"/>
      <c r="L924" s="71"/>
    </row>
    <row r="925" spans="6:12" x14ac:dyDescent="0.3">
      <c r="F925" s="50"/>
      <c r="G925" s="51"/>
      <c r="H925" s="49"/>
      <c r="I925" s="70"/>
      <c r="J925" s="70"/>
      <c r="K925" s="71"/>
      <c r="L925" s="71"/>
    </row>
    <row r="926" spans="6:12" x14ac:dyDescent="0.3">
      <c r="F926" s="50"/>
      <c r="G926" s="51"/>
      <c r="H926" s="49"/>
      <c r="I926" s="70"/>
      <c r="J926" s="70"/>
      <c r="K926" s="71"/>
      <c r="L926" s="71"/>
    </row>
    <row r="927" spans="6:12" x14ac:dyDescent="0.3">
      <c r="F927" s="50"/>
      <c r="G927" s="51"/>
      <c r="H927" s="49"/>
      <c r="I927" s="70"/>
      <c r="J927" s="70"/>
      <c r="K927" s="71"/>
      <c r="L927" s="71"/>
    </row>
    <row r="928" spans="6:12" x14ac:dyDescent="0.3">
      <c r="F928" s="50"/>
      <c r="G928" s="51"/>
      <c r="H928" s="49"/>
      <c r="I928" s="70"/>
      <c r="J928" s="70"/>
      <c r="K928" s="71"/>
      <c r="L928" s="71"/>
    </row>
    <row r="929" spans="6:12" x14ac:dyDescent="0.3">
      <c r="F929" s="50"/>
      <c r="G929" s="51"/>
      <c r="H929" s="49"/>
      <c r="I929" s="70"/>
      <c r="J929" s="70"/>
      <c r="K929" s="71"/>
      <c r="L929" s="71"/>
    </row>
    <row r="930" spans="6:12" x14ac:dyDescent="0.3">
      <c r="F930" s="50"/>
      <c r="G930" s="51"/>
      <c r="H930" s="49"/>
      <c r="I930" s="70"/>
      <c r="J930" s="70"/>
      <c r="K930" s="71"/>
      <c r="L930" s="71"/>
    </row>
    <row r="931" spans="6:12" x14ac:dyDescent="0.3">
      <c r="F931" s="50"/>
      <c r="G931" s="51"/>
      <c r="H931" s="49"/>
      <c r="I931" s="70"/>
      <c r="J931" s="70"/>
      <c r="K931" s="71"/>
      <c r="L931" s="71"/>
    </row>
    <row r="932" spans="6:12" x14ac:dyDescent="0.3">
      <c r="F932" s="50"/>
      <c r="G932" s="51"/>
      <c r="H932" s="49"/>
      <c r="I932" s="70"/>
      <c r="J932" s="70"/>
      <c r="K932" s="71"/>
      <c r="L932" s="71"/>
    </row>
    <row r="933" spans="6:12" x14ac:dyDescent="0.3">
      <c r="F933" s="50"/>
      <c r="G933" s="51"/>
      <c r="H933" s="49"/>
      <c r="I933" s="70"/>
      <c r="J933" s="70"/>
      <c r="K933" s="71"/>
      <c r="L933" s="71"/>
    </row>
    <row r="934" spans="6:12" x14ac:dyDescent="0.3">
      <c r="F934" s="50"/>
      <c r="G934" s="51"/>
      <c r="H934" s="49"/>
      <c r="I934" s="70"/>
      <c r="J934" s="70"/>
      <c r="K934" s="71"/>
      <c r="L934" s="71"/>
    </row>
    <row r="935" spans="6:12" x14ac:dyDescent="0.3">
      <c r="F935" s="50"/>
      <c r="G935" s="51"/>
      <c r="H935" s="49"/>
      <c r="I935" s="70"/>
      <c r="J935" s="70"/>
      <c r="K935" s="71"/>
      <c r="L935" s="71"/>
    </row>
    <row r="936" spans="6:12" x14ac:dyDescent="0.3">
      <c r="F936" s="50"/>
      <c r="G936" s="51"/>
      <c r="H936" s="49"/>
      <c r="I936" s="70"/>
      <c r="J936" s="70"/>
      <c r="K936" s="71"/>
      <c r="L936" s="71"/>
    </row>
    <row r="937" spans="6:12" x14ac:dyDescent="0.3">
      <c r="F937" s="50"/>
      <c r="G937" s="51"/>
      <c r="H937" s="49"/>
      <c r="I937" s="70"/>
      <c r="J937" s="70"/>
      <c r="K937" s="71"/>
      <c r="L937" s="71"/>
    </row>
    <row r="938" spans="6:12" x14ac:dyDescent="0.3">
      <c r="F938" s="50"/>
      <c r="G938" s="51"/>
      <c r="H938" s="49"/>
      <c r="I938" s="70"/>
      <c r="J938" s="70"/>
      <c r="K938" s="71"/>
      <c r="L938" s="71"/>
    </row>
    <row r="939" spans="6:12" x14ac:dyDescent="0.3">
      <c r="F939" s="50"/>
      <c r="G939" s="51"/>
      <c r="H939" s="49"/>
      <c r="I939" s="70"/>
      <c r="J939" s="70"/>
      <c r="K939" s="71"/>
      <c r="L939" s="71"/>
    </row>
    <row r="940" spans="6:12" x14ac:dyDescent="0.3">
      <c r="F940" s="50"/>
      <c r="G940" s="51"/>
      <c r="H940" s="49"/>
      <c r="I940" s="70"/>
      <c r="J940" s="70"/>
      <c r="K940" s="71"/>
      <c r="L940" s="71"/>
    </row>
    <row r="941" spans="6:12" x14ac:dyDescent="0.3">
      <c r="F941" s="50"/>
      <c r="G941" s="51"/>
      <c r="H941" s="49"/>
      <c r="I941" s="70"/>
      <c r="J941" s="70"/>
      <c r="K941" s="71"/>
      <c r="L941" s="71"/>
    </row>
    <row r="942" spans="6:12" x14ac:dyDescent="0.3">
      <c r="F942" s="50"/>
      <c r="G942" s="51"/>
      <c r="H942" s="49"/>
      <c r="I942" s="70"/>
      <c r="J942" s="70"/>
      <c r="K942" s="71"/>
      <c r="L942" s="71"/>
    </row>
    <row r="943" spans="6:12" x14ac:dyDescent="0.3">
      <c r="F943" s="50"/>
      <c r="G943" s="51"/>
      <c r="H943" s="49"/>
      <c r="I943" s="70"/>
      <c r="J943" s="70"/>
      <c r="K943" s="71"/>
      <c r="L943" s="71"/>
    </row>
    <row r="944" spans="6:12" x14ac:dyDescent="0.3">
      <c r="F944" s="50"/>
      <c r="G944" s="51"/>
      <c r="H944" s="49"/>
      <c r="I944" s="70"/>
      <c r="J944" s="70"/>
      <c r="K944" s="71"/>
      <c r="L944" s="71"/>
    </row>
    <row r="945" spans="6:12" x14ac:dyDescent="0.3">
      <c r="F945" s="50"/>
      <c r="G945" s="51"/>
      <c r="H945" s="49"/>
      <c r="I945" s="70"/>
      <c r="J945" s="70"/>
      <c r="K945" s="71"/>
      <c r="L945" s="71"/>
    </row>
    <row r="946" spans="6:12" x14ac:dyDescent="0.3">
      <c r="F946" s="50"/>
      <c r="G946" s="51"/>
      <c r="H946" s="49"/>
      <c r="I946" s="70"/>
      <c r="J946" s="70"/>
      <c r="K946" s="71"/>
      <c r="L946" s="71"/>
    </row>
    <row r="947" spans="6:12" x14ac:dyDescent="0.3">
      <c r="F947" s="50"/>
      <c r="G947" s="51"/>
      <c r="H947" s="49"/>
      <c r="I947" s="70"/>
      <c r="J947" s="70"/>
      <c r="K947" s="71"/>
      <c r="L947" s="71"/>
    </row>
    <row r="948" spans="6:12" x14ac:dyDescent="0.3">
      <c r="F948" s="50"/>
      <c r="G948" s="51"/>
      <c r="H948" s="49"/>
      <c r="I948" s="70"/>
      <c r="J948" s="70"/>
      <c r="K948" s="71"/>
      <c r="L948" s="71"/>
    </row>
    <row r="949" spans="6:12" x14ac:dyDescent="0.3">
      <c r="F949" s="50"/>
      <c r="G949" s="51"/>
      <c r="H949" s="49"/>
      <c r="I949" s="70"/>
      <c r="J949" s="70"/>
      <c r="K949" s="71"/>
      <c r="L949" s="71"/>
    </row>
    <row r="950" spans="6:12" x14ac:dyDescent="0.3">
      <c r="F950" s="50"/>
      <c r="G950" s="51"/>
      <c r="H950" s="49"/>
      <c r="I950" s="70"/>
      <c r="J950" s="70"/>
      <c r="K950" s="71"/>
      <c r="L950" s="71"/>
    </row>
    <row r="951" spans="6:12" x14ac:dyDescent="0.3">
      <c r="F951" s="50"/>
      <c r="G951" s="51"/>
      <c r="H951" s="49"/>
      <c r="I951" s="70"/>
      <c r="J951" s="70"/>
      <c r="K951" s="71"/>
      <c r="L951" s="71"/>
    </row>
    <row r="952" spans="6:12" x14ac:dyDescent="0.3">
      <c r="F952" s="50"/>
      <c r="G952" s="51"/>
      <c r="H952" s="49"/>
      <c r="I952" s="70"/>
      <c r="J952" s="70"/>
      <c r="K952" s="71"/>
      <c r="L952" s="71"/>
    </row>
    <row r="953" spans="6:12" x14ac:dyDescent="0.3">
      <c r="F953" s="50"/>
      <c r="G953" s="51"/>
      <c r="H953" s="49"/>
      <c r="I953" s="70"/>
      <c r="J953" s="70"/>
      <c r="K953" s="71"/>
      <c r="L953" s="71"/>
    </row>
    <row r="954" spans="6:12" x14ac:dyDescent="0.3">
      <c r="F954" s="50"/>
      <c r="G954" s="51"/>
      <c r="H954" s="49"/>
      <c r="I954" s="70"/>
      <c r="J954" s="70"/>
      <c r="K954" s="71"/>
      <c r="L954" s="71"/>
    </row>
    <row r="955" spans="6:12" x14ac:dyDescent="0.3">
      <c r="F955" s="50"/>
      <c r="G955" s="51"/>
      <c r="H955" s="49"/>
      <c r="I955" s="70"/>
      <c r="J955" s="70"/>
      <c r="K955" s="71"/>
      <c r="L955" s="71"/>
    </row>
    <row r="956" spans="6:12" x14ac:dyDescent="0.3">
      <c r="F956" s="50"/>
      <c r="G956" s="51"/>
      <c r="H956" s="49"/>
      <c r="I956" s="70"/>
      <c r="J956" s="70"/>
      <c r="K956" s="71"/>
      <c r="L956" s="71"/>
    </row>
    <row r="957" spans="6:12" x14ac:dyDescent="0.3">
      <c r="F957" s="50"/>
      <c r="G957" s="51"/>
      <c r="H957" s="49"/>
      <c r="I957" s="70"/>
      <c r="J957" s="70"/>
      <c r="K957" s="71"/>
      <c r="L957" s="71"/>
    </row>
    <row r="958" spans="6:12" x14ac:dyDescent="0.3">
      <c r="F958" s="50"/>
      <c r="G958" s="51"/>
      <c r="H958" s="49"/>
      <c r="I958" s="70"/>
      <c r="J958" s="70"/>
      <c r="K958" s="71"/>
      <c r="L958" s="71"/>
    </row>
    <row r="959" spans="6:12" x14ac:dyDescent="0.3">
      <c r="F959" s="50"/>
      <c r="G959" s="51"/>
      <c r="H959" s="49"/>
      <c r="I959" s="70"/>
      <c r="J959" s="70"/>
      <c r="K959" s="71"/>
      <c r="L959" s="71"/>
    </row>
    <row r="960" spans="6:12" x14ac:dyDescent="0.3">
      <c r="F960" s="50"/>
      <c r="G960" s="51"/>
      <c r="H960" s="49"/>
      <c r="I960" s="70"/>
      <c r="J960" s="70"/>
      <c r="K960" s="71"/>
      <c r="L960" s="71"/>
    </row>
    <row r="961" spans="6:12" x14ac:dyDescent="0.3">
      <c r="F961" s="50"/>
      <c r="G961" s="51"/>
      <c r="H961" s="49"/>
      <c r="I961" s="70"/>
      <c r="J961" s="70"/>
      <c r="K961" s="71"/>
      <c r="L961" s="71"/>
    </row>
    <row r="962" spans="6:12" x14ac:dyDescent="0.3">
      <c r="F962" s="50"/>
      <c r="G962" s="51"/>
      <c r="H962" s="49"/>
      <c r="I962" s="70"/>
      <c r="J962" s="70"/>
      <c r="K962" s="71"/>
      <c r="L962" s="71"/>
    </row>
    <row r="963" spans="6:12" x14ac:dyDescent="0.3">
      <c r="F963" s="50"/>
      <c r="G963" s="51"/>
      <c r="H963" s="49"/>
      <c r="I963" s="70"/>
      <c r="J963" s="70"/>
      <c r="K963" s="71"/>
      <c r="L963" s="71"/>
    </row>
    <row r="964" spans="6:12" x14ac:dyDescent="0.3">
      <c r="F964" s="50"/>
      <c r="G964" s="51"/>
      <c r="H964" s="49"/>
      <c r="I964" s="70"/>
      <c r="J964" s="70"/>
      <c r="K964" s="71"/>
      <c r="L964" s="71"/>
    </row>
    <row r="965" spans="6:12" x14ac:dyDescent="0.3">
      <c r="F965" s="50"/>
      <c r="G965" s="51"/>
      <c r="H965" s="49"/>
      <c r="I965" s="70"/>
      <c r="J965" s="70"/>
      <c r="K965" s="71"/>
      <c r="L965" s="71"/>
    </row>
    <row r="966" spans="6:12" x14ac:dyDescent="0.3">
      <c r="F966" s="50"/>
      <c r="G966" s="51"/>
      <c r="H966" s="49"/>
      <c r="I966" s="70"/>
      <c r="J966" s="70"/>
      <c r="K966" s="71"/>
      <c r="L966" s="71"/>
    </row>
    <row r="967" spans="6:12" x14ac:dyDescent="0.3">
      <c r="F967" s="50"/>
      <c r="G967" s="51"/>
      <c r="H967" s="49"/>
      <c r="I967" s="70"/>
      <c r="J967" s="70"/>
      <c r="K967" s="71"/>
      <c r="L967" s="71"/>
    </row>
    <row r="968" spans="6:12" x14ac:dyDescent="0.3">
      <c r="F968" s="50"/>
      <c r="G968" s="51"/>
      <c r="H968" s="49"/>
      <c r="I968" s="70"/>
      <c r="J968" s="70"/>
      <c r="K968" s="71"/>
      <c r="L968" s="71"/>
    </row>
    <row r="969" spans="6:12" x14ac:dyDescent="0.3">
      <c r="F969" s="50"/>
      <c r="G969" s="51"/>
      <c r="H969" s="49"/>
      <c r="I969" s="70"/>
      <c r="J969" s="70"/>
      <c r="K969" s="71"/>
      <c r="L969" s="71"/>
    </row>
    <row r="970" spans="6:12" x14ac:dyDescent="0.3">
      <c r="F970" s="50"/>
      <c r="G970" s="51"/>
      <c r="H970" s="49"/>
      <c r="I970" s="70"/>
      <c r="J970" s="70"/>
      <c r="K970" s="71"/>
      <c r="L970" s="71"/>
    </row>
    <row r="971" spans="6:12" x14ac:dyDescent="0.3">
      <c r="F971" s="50"/>
      <c r="G971" s="51"/>
      <c r="H971" s="49"/>
      <c r="I971" s="70"/>
      <c r="J971" s="70"/>
      <c r="K971" s="71"/>
      <c r="L971" s="71"/>
    </row>
    <row r="972" spans="6:12" x14ac:dyDescent="0.3">
      <c r="F972" s="50"/>
      <c r="G972" s="51"/>
      <c r="H972" s="49"/>
      <c r="I972" s="70"/>
      <c r="J972" s="70"/>
      <c r="K972" s="71"/>
      <c r="L972" s="71"/>
    </row>
    <row r="973" spans="6:12" x14ac:dyDescent="0.3">
      <c r="F973" s="50"/>
      <c r="G973" s="51"/>
      <c r="H973" s="49"/>
      <c r="I973" s="70"/>
      <c r="J973" s="70"/>
      <c r="K973" s="71"/>
      <c r="L973" s="71"/>
    </row>
    <row r="974" spans="6:12" x14ac:dyDescent="0.3">
      <c r="F974" s="50"/>
      <c r="G974" s="51"/>
      <c r="H974" s="49"/>
      <c r="I974" s="70"/>
      <c r="J974" s="70"/>
      <c r="K974" s="71"/>
      <c r="L974" s="71"/>
    </row>
    <row r="975" spans="6:12" x14ac:dyDescent="0.3">
      <c r="F975" s="50"/>
      <c r="G975" s="51"/>
      <c r="H975" s="49"/>
      <c r="I975" s="70"/>
      <c r="J975" s="70"/>
      <c r="K975" s="71"/>
      <c r="L975" s="71"/>
    </row>
    <row r="976" spans="6:12" x14ac:dyDescent="0.3">
      <c r="F976" s="50"/>
      <c r="G976" s="51"/>
      <c r="H976" s="49"/>
      <c r="I976" s="70"/>
      <c r="J976" s="70"/>
      <c r="K976" s="71"/>
      <c r="L976" s="71"/>
    </row>
    <row r="977" spans="6:12" x14ac:dyDescent="0.3">
      <c r="F977" s="50"/>
      <c r="G977" s="51"/>
      <c r="H977" s="49"/>
      <c r="I977" s="70"/>
      <c r="J977" s="70"/>
      <c r="K977" s="71"/>
      <c r="L977" s="71"/>
    </row>
    <row r="978" spans="6:12" x14ac:dyDescent="0.3">
      <c r="F978" s="50"/>
      <c r="G978" s="51"/>
      <c r="H978" s="49"/>
      <c r="I978" s="70"/>
      <c r="J978" s="70"/>
      <c r="K978" s="71"/>
      <c r="L978" s="71"/>
    </row>
    <row r="979" spans="6:12" x14ac:dyDescent="0.3">
      <c r="F979" s="50"/>
      <c r="G979" s="51"/>
      <c r="H979" s="49"/>
      <c r="I979" s="70"/>
      <c r="J979" s="70"/>
      <c r="K979" s="71"/>
      <c r="L979" s="71"/>
    </row>
    <row r="980" spans="6:12" x14ac:dyDescent="0.3">
      <c r="F980" s="50"/>
      <c r="G980" s="51"/>
      <c r="H980" s="49"/>
      <c r="I980" s="70"/>
      <c r="J980" s="70"/>
      <c r="K980" s="71"/>
      <c r="L980" s="71"/>
    </row>
    <row r="981" spans="6:12" x14ac:dyDescent="0.3">
      <c r="F981" s="50"/>
      <c r="G981" s="51"/>
      <c r="H981" s="49"/>
      <c r="I981" s="70"/>
      <c r="J981" s="70"/>
      <c r="K981" s="71"/>
      <c r="L981" s="71"/>
    </row>
    <row r="982" spans="6:12" x14ac:dyDescent="0.3">
      <c r="F982" s="50"/>
      <c r="G982" s="51"/>
      <c r="H982" s="49"/>
      <c r="I982" s="70"/>
      <c r="J982" s="70"/>
      <c r="K982" s="71"/>
      <c r="L982" s="71"/>
    </row>
    <row r="983" spans="6:12" x14ac:dyDescent="0.3">
      <c r="F983" s="50"/>
      <c r="G983" s="51"/>
      <c r="H983" s="49"/>
      <c r="I983" s="70"/>
      <c r="J983" s="70"/>
      <c r="K983" s="71"/>
      <c r="L983" s="71"/>
    </row>
    <row r="984" spans="6:12" x14ac:dyDescent="0.3">
      <c r="F984" s="50"/>
      <c r="G984" s="51"/>
      <c r="H984" s="49"/>
      <c r="I984" s="70"/>
      <c r="J984" s="70"/>
      <c r="K984" s="71"/>
      <c r="L984" s="71"/>
    </row>
    <row r="985" spans="6:12" x14ac:dyDescent="0.3">
      <c r="F985" s="50"/>
      <c r="G985" s="51"/>
      <c r="H985" s="49"/>
      <c r="I985" s="70"/>
      <c r="J985" s="70"/>
      <c r="K985" s="71"/>
      <c r="L985" s="71"/>
    </row>
    <row r="986" spans="6:12" x14ac:dyDescent="0.3">
      <c r="F986" s="50"/>
      <c r="G986" s="51"/>
      <c r="H986" s="49"/>
      <c r="I986" s="70"/>
      <c r="J986" s="70"/>
      <c r="K986" s="71"/>
      <c r="L986" s="71"/>
    </row>
    <row r="987" spans="6:12" x14ac:dyDescent="0.3">
      <c r="F987" s="50"/>
      <c r="G987" s="51"/>
      <c r="H987" s="49"/>
      <c r="I987" s="70"/>
      <c r="J987" s="70"/>
      <c r="K987" s="71"/>
      <c r="L987" s="71"/>
    </row>
    <row r="988" spans="6:12" x14ac:dyDescent="0.3">
      <c r="F988" s="50"/>
      <c r="G988" s="51"/>
      <c r="H988" s="49"/>
      <c r="I988" s="70"/>
      <c r="J988" s="70"/>
      <c r="K988" s="71"/>
      <c r="L988" s="71"/>
    </row>
    <row r="989" spans="6:12" x14ac:dyDescent="0.3">
      <c r="F989" s="50"/>
      <c r="G989" s="51"/>
      <c r="H989" s="49"/>
      <c r="I989" s="70"/>
      <c r="J989" s="70"/>
      <c r="K989" s="71"/>
      <c r="L989" s="71"/>
    </row>
    <row r="990" spans="6:12" x14ac:dyDescent="0.3">
      <c r="F990" s="50"/>
      <c r="G990" s="51"/>
      <c r="H990" s="49"/>
      <c r="I990" s="70"/>
      <c r="J990" s="70"/>
      <c r="K990" s="71"/>
      <c r="L990" s="71"/>
    </row>
    <row r="991" spans="6:12" x14ac:dyDescent="0.3">
      <c r="F991" s="50"/>
      <c r="G991" s="51"/>
      <c r="H991" s="49"/>
      <c r="I991" s="70"/>
      <c r="J991" s="70"/>
      <c r="K991" s="71"/>
      <c r="L991" s="71"/>
    </row>
    <row r="992" spans="6:12" x14ac:dyDescent="0.3">
      <c r="F992" s="50"/>
      <c r="G992" s="51"/>
      <c r="H992" s="49"/>
      <c r="I992" s="70"/>
      <c r="J992" s="70"/>
      <c r="K992" s="71"/>
      <c r="L992" s="71"/>
    </row>
    <row r="993" spans="6:12" x14ac:dyDescent="0.3">
      <c r="F993" s="50"/>
      <c r="G993" s="51"/>
      <c r="H993" s="49"/>
      <c r="I993" s="70"/>
      <c r="J993" s="70"/>
      <c r="K993" s="71"/>
      <c r="L993" s="71"/>
    </row>
    <row r="994" spans="6:12" x14ac:dyDescent="0.3">
      <c r="F994" s="50"/>
      <c r="G994" s="51"/>
      <c r="H994" s="49"/>
      <c r="I994" s="70"/>
      <c r="J994" s="70"/>
      <c r="K994" s="71"/>
      <c r="L994" s="71"/>
    </row>
    <row r="995" spans="6:12" x14ac:dyDescent="0.3">
      <c r="F995" s="50"/>
      <c r="G995" s="51"/>
      <c r="H995" s="49"/>
      <c r="I995" s="70"/>
      <c r="J995" s="70"/>
      <c r="K995" s="71"/>
      <c r="L995" s="71"/>
    </row>
    <row r="996" spans="6:12" x14ac:dyDescent="0.3">
      <c r="F996" s="50"/>
      <c r="G996" s="51"/>
      <c r="H996" s="49"/>
      <c r="I996" s="70"/>
      <c r="J996" s="70"/>
      <c r="K996" s="71"/>
      <c r="L996" s="71"/>
    </row>
    <row r="997" spans="6:12" x14ac:dyDescent="0.3">
      <c r="F997" s="50"/>
      <c r="G997" s="51"/>
      <c r="H997" s="49"/>
      <c r="I997" s="70"/>
      <c r="J997" s="70"/>
      <c r="K997" s="71"/>
      <c r="L997" s="71"/>
    </row>
    <row r="998" spans="6:12" x14ac:dyDescent="0.3">
      <c r="F998" s="50"/>
      <c r="G998" s="51"/>
      <c r="H998" s="49"/>
      <c r="I998" s="70"/>
      <c r="J998" s="70"/>
      <c r="K998" s="71"/>
      <c r="L998" s="71"/>
    </row>
    <row r="999" spans="6:12" x14ac:dyDescent="0.3">
      <c r="F999" s="50"/>
      <c r="G999" s="51"/>
      <c r="H999" s="49"/>
      <c r="I999" s="70"/>
      <c r="J999" s="70"/>
      <c r="K999" s="71"/>
      <c r="L999" s="71"/>
    </row>
    <row r="1000" spans="6:12" x14ac:dyDescent="0.3">
      <c r="F1000" s="50"/>
      <c r="G1000" s="51"/>
      <c r="H1000" s="49"/>
      <c r="I1000" s="70"/>
      <c r="J1000" s="70"/>
      <c r="K1000" s="71"/>
      <c r="L1000" s="71"/>
    </row>
    <row r="1001" spans="6:12" x14ac:dyDescent="0.3">
      <c r="F1001" s="50"/>
      <c r="G1001" s="51"/>
      <c r="H1001" s="49"/>
      <c r="I1001" s="70"/>
      <c r="J1001" s="70"/>
      <c r="K1001" s="71"/>
      <c r="L1001" s="71"/>
    </row>
    <row r="1002" spans="6:12" x14ac:dyDescent="0.3">
      <c r="F1002" s="50"/>
      <c r="G1002" s="51"/>
      <c r="H1002" s="49"/>
      <c r="I1002" s="70"/>
      <c r="J1002" s="70"/>
      <c r="K1002" s="71"/>
      <c r="L1002" s="71"/>
    </row>
    <row r="1003" spans="6:12" x14ac:dyDescent="0.3">
      <c r="F1003" s="50"/>
      <c r="G1003" s="51"/>
      <c r="H1003" s="49"/>
      <c r="I1003" s="70"/>
      <c r="J1003" s="70"/>
      <c r="K1003" s="71"/>
      <c r="L1003" s="71"/>
    </row>
    <row r="1004" spans="6:12" x14ac:dyDescent="0.3">
      <c r="F1004" s="50"/>
      <c r="G1004" s="51"/>
      <c r="H1004" s="49"/>
      <c r="I1004" s="70"/>
      <c r="J1004" s="70"/>
      <c r="K1004" s="71"/>
      <c r="L1004" s="71"/>
    </row>
    <row r="1005" spans="6:12" x14ac:dyDescent="0.3">
      <c r="F1005" s="50"/>
      <c r="G1005" s="51"/>
      <c r="H1005" s="49"/>
      <c r="I1005" s="70"/>
      <c r="J1005" s="70"/>
      <c r="K1005" s="71"/>
      <c r="L1005" s="71"/>
    </row>
    <row r="1006" spans="6:12" x14ac:dyDescent="0.3">
      <c r="F1006" s="50"/>
      <c r="G1006" s="51"/>
      <c r="H1006" s="49"/>
      <c r="I1006" s="70"/>
      <c r="J1006" s="70"/>
      <c r="K1006" s="71"/>
      <c r="L1006" s="71"/>
    </row>
    <row r="1007" spans="6:12" x14ac:dyDescent="0.3">
      <c r="F1007" s="50"/>
      <c r="G1007" s="51"/>
      <c r="H1007" s="49"/>
      <c r="I1007" s="70"/>
      <c r="J1007" s="70"/>
      <c r="K1007" s="71"/>
      <c r="L1007" s="71"/>
    </row>
    <row r="1008" spans="6:12" x14ac:dyDescent="0.3">
      <c r="F1008" s="50"/>
      <c r="G1008" s="51"/>
      <c r="H1008" s="49"/>
      <c r="I1008" s="70"/>
      <c r="J1008" s="70"/>
      <c r="K1008" s="71"/>
      <c r="L1008" s="71"/>
    </row>
    <row r="1009" spans="6:12" x14ac:dyDescent="0.3">
      <c r="F1009" s="50"/>
      <c r="G1009" s="51"/>
      <c r="H1009" s="49"/>
      <c r="I1009" s="70"/>
      <c r="J1009" s="70"/>
      <c r="K1009" s="71"/>
      <c r="L1009" s="71"/>
    </row>
    <row r="1010" spans="6:12" x14ac:dyDescent="0.3">
      <c r="F1010" s="50"/>
      <c r="G1010" s="51"/>
      <c r="H1010" s="49"/>
      <c r="I1010" s="70"/>
      <c r="J1010" s="70"/>
      <c r="K1010" s="71"/>
      <c r="L1010" s="71"/>
    </row>
    <row r="1011" spans="6:12" x14ac:dyDescent="0.3">
      <c r="F1011" s="50"/>
      <c r="G1011" s="51"/>
      <c r="H1011" s="49"/>
      <c r="I1011" s="70"/>
      <c r="J1011" s="70"/>
      <c r="K1011" s="71"/>
      <c r="L1011" s="71"/>
    </row>
    <row r="1012" spans="6:12" x14ac:dyDescent="0.3">
      <c r="F1012" s="50"/>
      <c r="G1012" s="51"/>
      <c r="H1012" s="49"/>
      <c r="I1012" s="70"/>
      <c r="J1012" s="70"/>
      <c r="K1012" s="71"/>
      <c r="L1012" s="71"/>
    </row>
    <row r="1013" spans="6:12" x14ac:dyDescent="0.3">
      <c r="F1013" s="50"/>
      <c r="G1013" s="51"/>
      <c r="H1013" s="49"/>
      <c r="I1013" s="70"/>
      <c r="J1013" s="70"/>
      <c r="K1013" s="71"/>
      <c r="L1013" s="71"/>
    </row>
    <row r="1014" spans="6:12" x14ac:dyDescent="0.3">
      <c r="F1014" s="50"/>
      <c r="G1014" s="51"/>
      <c r="H1014" s="49"/>
      <c r="I1014" s="70"/>
      <c r="J1014" s="70"/>
      <c r="K1014" s="71"/>
      <c r="L1014" s="71"/>
    </row>
    <row r="1015" spans="6:12" x14ac:dyDescent="0.3">
      <c r="F1015" s="50"/>
      <c r="G1015" s="51"/>
      <c r="H1015" s="49"/>
      <c r="I1015" s="70"/>
      <c r="J1015" s="70"/>
      <c r="K1015" s="71"/>
      <c r="L1015" s="71"/>
    </row>
    <row r="1016" spans="6:12" x14ac:dyDescent="0.3">
      <c r="F1016" s="50"/>
      <c r="G1016" s="51"/>
      <c r="H1016" s="49"/>
      <c r="I1016" s="70"/>
      <c r="J1016" s="70"/>
      <c r="K1016" s="71"/>
      <c r="L1016" s="71"/>
    </row>
    <row r="1017" spans="6:12" x14ac:dyDescent="0.3">
      <c r="F1017" s="50"/>
      <c r="G1017" s="51"/>
      <c r="H1017" s="49"/>
      <c r="I1017" s="70"/>
      <c r="J1017" s="70"/>
      <c r="K1017" s="71"/>
      <c r="L1017" s="71"/>
    </row>
    <row r="1018" spans="6:12" x14ac:dyDescent="0.3">
      <c r="F1018" s="50"/>
      <c r="G1018" s="51"/>
      <c r="H1018" s="49"/>
      <c r="I1018" s="70"/>
      <c r="J1018" s="70"/>
      <c r="K1018" s="71"/>
      <c r="L1018" s="71"/>
    </row>
    <row r="1019" spans="6:12" x14ac:dyDescent="0.3">
      <c r="F1019" s="50"/>
      <c r="G1019" s="51"/>
      <c r="H1019" s="49"/>
      <c r="I1019" s="70"/>
      <c r="J1019" s="70"/>
      <c r="K1019" s="71"/>
      <c r="L1019" s="71"/>
    </row>
    <row r="1020" spans="6:12" x14ac:dyDescent="0.3">
      <c r="F1020" s="50"/>
      <c r="G1020" s="51"/>
      <c r="H1020" s="49"/>
      <c r="I1020" s="70"/>
      <c r="J1020" s="70"/>
      <c r="K1020" s="71"/>
      <c r="L1020" s="71"/>
    </row>
    <row r="1021" spans="6:12" x14ac:dyDescent="0.3">
      <c r="F1021" s="50"/>
      <c r="G1021" s="51"/>
      <c r="H1021" s="49"/>
      <c r="I1021" s="70"/>
      <c r="J1021" s="70"/>
      <c r="K1021" s="71"/>
      <c r="L1021" s="71"/>
    </row>
    <row r="1022" spans="6:12" x14ac:dyDescent="0.3">
      <c r="F1022" s="50"/>
      <c r="G1022" s="51"/>
      <c r="H1022" s="49"/>
      <c r="I1022" s="70"/>
      <c r="J1022" s="70"/>
      <c r="K1022" s="71"/>
      <c r="L1022" s="71"/>
    </row>
    <row r="1023" spans="6:12" x14ac:dyDescent="0.3">
      <c r="F1023" s="50"/>
      <c r="G1023" s="51"/>
      <c r="H1023" s="49"/>
      <c r="I1023" s="70"/>
      <c r="J1023" s="70"/>
      <c r="K1023" s="71"/>
      <c r="L1023" s="71"/>
    </row>
    <row r="1024" spans="6:12" x14ac:dyDescent="0.3">
      <c r="F1024" s="50"/>
      <c r="G1024" s="51"/>
      <c r="H1024" s="49"/>
      <c r="I1024" s="70"/>
      <c r="J1024" s="70"/>
      <c r="K1024" s="71"/>
      <c r="L1024" s="71"/>
    </row>
    <row r="1025" spans="6:12" x14ac:dyDescent="0.3">
      <c r="F1025" s="50"/>
      <c r="G1025" s="51"/>
      <c r="H1025" s="49"/>
      <c r="I1025" s="70"/>
      <c r="J1025" s="70"/>
      <c r="K1025" s="71"/>
      <c r="L1025" s="71"/>
    </row>
    <row r="1026" spans="6:12" x14ac:dyDescent="0.3">
      <c r="F1026" s="50"/>
      <c r="G1026" s="51"/>
      <c r="H1026" s="49"/>
      <c r="I1026" s="70"/>
      <c r="J1026" s="70"/>
      <c r="K1026" s="71"/>
      <c r="L1026" s="71"/>
    </row>
    <row r="1027" spans="6:12" x14ac:dyDescent="0.3">
      <c r="F1027" s="50"/>
      <c r="G1027" s="51"/>
      <c r="H1027" s="49"/>
      <c r="I1027" s="70"/>
      <c r="J1027" s="70"/>
      <c r="K1027" s="71"/>
      <c r="L1027" s="71"/>
    </row>
    <row r="1028" spans="6:12" x14ac:dyDescent="0.3">
      <c r="F1028" s="50"/>
      <c r="G1028" s="51"/>
      <c r="H1028" s="49"/>
      <c r="I1028" s="70"/>
      <c r="J1028" s="70"/>
      <c r="K1028" s="71"/>
      <c r="L1028" s="71"/>
    </row>
    <row r="1029" spans="6:12" x14ac:dyDescent="0.3">
      <c r="F1029" s="50"/>
      <c r="G1029" s="51"/>
      <c r="H1029" s="49"/>
      <c r="I1029" s="70"/>
      <c r="J1029" s="70"/>
      <c r="K1029" s="71"/>
      <c r="L1029" s="71"/>
    </row>
    <row r="1030" spans="6:12" x14ac:dyDescent="0.3">
      <c r="F1030" s="50"/>
      <c r="G1030" s="51"/>
      <c r="H1030" s="49"/>
      <c r="I1030" s="70"/>
      <c r="J1030" s="70"/>
      <c r="K1030" s="71"/>
      <c r="L1030" s="71"/>
    </row>
    <row r="1031" spans="6:12" x14ac:dyDescent="0.3">
      <c r="F1031" s="50"/>
      <c r="G1031" s="51"/>
      <c r="H1031" s="49"/>
      <c r="I1031" s="70"/>
      <c r="J1031" s="70"/>
      <c r="K1031" s="71"/>
      <c r="L1031" s="71"/>
    </row>
    <row r="1032" spans="6:12" x14ac:dyDescent="0.3">
      <c r="F1032" s="50"/>
      <c r="G1032" s="51"/>
      <c r="H1032" s="49"/>
      <c r="I1032" s="70"/>
      <c r="J1032" s="70"/>
      <c r="K1032" s="71"/>
      <c r="L1032" s="71"/>
    </row>
    <row r="1033" spans="6:12" x14ac:dyDescent="0.3">
      <c r="F1033" s="50"/>
      <c r="G1033" s="51"/>
      <c r="H1033" s="49"/>
      <c r="I1033" s="70"/>
      <c r="J1033" s="70"/>
      <c r="K1033" s="71"/>
      <c r="L1033" s="71"/>
    </row>
    <row r="1034" spans="6:12" x14ac:dyDescent="0.3">
      <c r="F1034" s="50"/>
      <c r="G1034" s="51"/>
      <c r="H1034" s="49"/>
      <c r="I1034" s="70"/>
      <c r="J1034" s="70"/>
      <c r="K1034" s="71"/>
      <c r="L1034" s="71"/>
    </row>
    <row r="1035" spans="6:12" x14ac:dyDescent="0.3">
      <c r="F1035" s="50"/>
      <c r="G1035" s="51"/>
      <c r="H1035" s="49"/>
      <c r="I1035" s="70"/>
      <c r="J1035" s="70"/>
      <c r="K1035" s="71"/>
      <c r="L1035" s="71"/>
    </row>
    <row r="1036" spans="6:12" x14ac:dyDescent="0.3">
      <c r="F1036" s="50"/>
      <c r="G1036" s="51"/>
      <c r="H1036" s="49"/>
      <c r="I1036" s="70"/>
      <c r="J1036" s="70"/>
      <c r="K1036" s="71"/>
      <c r="L1036" s="71"/>
    </row>
    <row r="1037" spans="6:12" x14ac:dyDescent="0.3">
      <c r="F1037" s="50"/>
      <c r="G1037" s="51"/>
      <c r="H1037" s="49"/>
      <c r="I1037" s="70"/>
      <c r="J1037" s="70"/>
      <c r="K1037" s="71"/>
      <c r="L1037" s="71"/>
    </row>
    <row r="1038" spans="6:12" x14ac:dyDescent="0.3">
      <c r="F1038" s="50"/>
      <c r="G1038" s="51"/>
      <c r="H1038" s="49"/>
      <c r="I1038" s="70"/>
      <c r="J1038" s="70"/>
      <c r="K1038" s="71"/>
      <c r="L1038" s="71"/>
    </row>
    <row r="1039" spans="6:12" x14ac:dyDescent="0.3">
      <c r="F1039" s="50"/>
      <c r="G1039" s="51"/>
      <c r="H1039" s="49"/>
      <c r="I1039" s="70"/>
      <c r="J1039" s="70"/>
      <c r="K1039" s="71"/>
      <c r="L1039" s="71"/>
    </row>
    <row r="1040" spans="6:12" x14ac:dyDescent="0.3">
      <c r="F1040" s="50"/>
      <c r="G1040" s="51"/>
      <c r="H1040" s="49"/>
      <c r="I1040" s="70"/>
      <c r="J1040" s="70"/>
      <c r="K1040" s="71"/>
      <c r="L1040" s="71"/>
    </row>
    <row r="1041" spans="6:12" x14ac:dyDescent="0.3">
      <c r="F1041" s="50"/>
      <c r="G1041" s="51"/>
      <c r="H1041" s="49"/>
      <c r="I1041" s="70"/>
      <c r="J1041" s="70"/>
      <c r="K1041" s="71"/>
      <c r="L1041" s="71"/>
    </row>
    <row r="1042" spans="6:12" x14ac:dyDescent="0.3">
      <c r="F1042" s="50"/>
      <c r="G1042" s="51"/>
      <c r="H1042" s="49"/>
      <c r="I1042" s="70"/>
      <c r="J1042" s="70"/>
      <c r="K1042" s="71"/>
      <c r="L1042" s="71"/>
    </row>
    <row r="1043" spans="6:12" x14ac:dyDescent="0.3">
      <c r="F1043" s="50"/>
      <c r="G1043" s="51"/>
      <c r="H1043" s="49"/>
      <c r="I1043" s="70"/>
      <c r="J1043" s="70"/>
      <c r="K1043" s="71"/>
      <c r="L1043" s="71"/>
    </row>
    <row r="1044" spans="6:12" x14ac:dyDescent="0.3">
      <c r="F1044" s="50"/>
      <c r="G1044" s="51"/>
      <c r="H1044" s="49"/>
      <c r="I1044" s="70"/>
      <c r="J1044" s="70"/>
      <c r="K1044" s="71"/>
      <c r="L1044" s="71"/>
    </row>
    <row r="1045" spans="6:12" x14ac:dyDescent="0.3">
      <c r="F1045" s="50"/>
      <c r="G1045" s="51"/>
      <c r="H1045" s="49"/>
      <c r="I1045" s="70"/>
      <c r="J1045" s="70"/>
      <c r="K1045" s="71"/>
      <c r="L1045" s="71"/>
    </row>
    <row r="1046" spans="6:12" x14ac:dyDescent="0.3">
      <c r="F1046" s="50"/>
      <c r="G1046" s="51"/>
      <c r="H1046" s="49"/>
      <c r="I1046" s="70"/>
      <c r="J1046" s="70"/>
      <c r="K1046" s="71"/>
      <c r="L1046" s="71"/>
    </row>
    <row r="1047" spans="6:12" x14ac:dyDescent="0.3">
      <c r="F1047" s="50"/>
      <c r="G1047" s="51"/>
      <c r="H1047" s="49"/>
      <c r="I1047" s="70"/>
      <c r="J1047" s="70"/>
      <c r="K1047" s="71"/>
      <c r="L1047" s="71"/>
    </row>
    <row r="1048" spans="6:12" x14ac:dyDescent="0.3">
      <c r="F1048" s="50"/>
      <c r="G1048" s="51"/>
      <c r="H1048" s="49"/>
      <c r="I1048" s="70"/>
      <c r="J1048" s="70"/>
      <c r="K1048" s="71"/>
      <c r="L1048" s="71"/>
    </row>
    <row r="1049" spans="6:12" x14ac:dyDescent="0.3">
      <c r="F1049" s="50"/>
      <c r="G1049" s="51"/>
      <c r="H1049" s="49"/>
      <c r="I1049" s="70"/>
      <c r="J1049" s="70"/>
      <c r="K1049" s="71"/>
      <c r="L1049" s="71"/>
    </row>
    <row r="1050" spans="6:12" x14ac:dyDescent="0.3">
      <c r="F1050" s="50"/>
      <c r="G1050" s="51"/>
      <c r="H1050" s="49"/>
      <c r="I1050" s="70"/>
      <c r="J1050" s="70"/>
      <c r="K1050" s="71"/>
      <c r="L1050" s="71"/>
    </row>
    <row r="1051" spans="6:12" x14ac:dyDescent="0.3">
      <c r="F1051" s="50"/>
      <c r="G1051" s="51"/>
      <c r="H1051" s="49"/>
      <c r="I1051" s="70"/>
      <c r="J1051" s="70"/>
      <c r="K1051" s="71"/>
      <c r="L1051" s="71"/>
    </row>
    <row r="1052" spans="6:12" x14ac:dyDescent="0.3">
      <c r="F1052" s="50"/>
      <c r="G1052" s="51"/>
      <c r="H1052" s="49"/>
      <c r="I1052" s="70"/>
      <c r="J1052" s="70"/>
      <c r="K1052" s="71"/>
      <c r="L1052" s="71"/>
    </row>
    <row r="1053" spans="6:12" x14ac:dyDescent="0.3">
      <c r="F1053" s="50"/>
      <c r="G1053" s="51"/>
      <c r="H1053" s="49"/>
      <c r="I1053" s="70"/>
      <c r="J1053" s="70"/>
      <c r="K1053" s="71"/>
      <c r="L1053" s="71"/>
    </row>
    <row r="1054" spans="6:12" x14ac:dyDescent="0.3">
      <c r="F1054" s="50"/>
      <c r="G1054" s="51"/>
      <c r="H1054" s="49"/>
      <c r="I1054" s="70"/>
      <c r="J1054" s="70"/>
      <c r="K1054" s="71"/>
      <c r="L1054" s="71"/>
    </row>
    <row r="1055" spans="6:12" x14ac:dyDescent="0.3">
      <c r="F1055" s="50"/>
      <c r="G1055" s="51"/>
      <c r="H1055" s="49"/>
      <c r="I1055" s="70"/>
      <c r="J1055" s="70"/>
      <c r="K1055" s="71"/>
      <c r="L1055" s="71"/>
    </row>
    <row r="1056" spans="6:12" x14ac:dyDescent="0.3">
      <c r="F1056" s="50"/>
      <c r="G1056" s="51"/>
      <c r="H1056" s="49"/>
      <c r="I1056" s="70"/>
      <c r="J1056" s="70"/>
      <c r="K1056" s="71"/>
      <c r="L1056" s="71"/>
    </row>
    <row r="1057" spans="6:12" x14ac:dyDescent="0.3">
      <c r="F1057" s="50"/>
      <c r="G1057" s="51"/>
      <c r="H1057" s="49"/>
      <c r="I1057" s="70"/>
      <c r="J1057" s="70"/>
      <c r="K1057" s="71"/>
      <c r="L1057" s="71"/>
    </row>
    <row r="1058" spans="6:12" x14ac:dyDescent="0.3">
      <c r="F1058" s="50"/>
      <c r="G1058" s="51"/>
      <c r="H1058" s="49"/>
      <c r="I1058" s="70"/>
      <c r="J1058" s="70"/>
      <c r="K1058" s="71"/>
      <c r="L1058" s="71"/>
    </row>
    <row r="1059" spans="6:12" x14ac:dyDescent="0.3">
      <c r="F1059" s="50"/>
      <c r="G1059" s="51"/>
      <c r="H1059" s="49"/>
      <c r="I1059" s="70"/>
      <c r="J1059" s="70"/>
      <c r="K1059" s="71"/>
      <c r="L1059" s="71"/>
    </row>
    <row r="1060" spans="6:12" x14ac:dyDescent="0.3">
      <c r="F1060" s="50"/>
      <c r="G1060" s="51"/>
      <c r="H1060" s="49"/>
      <c r="I1060" s="70"/>
      <c r="J1060" s="70"/>
      <c r="K1060" s="71"/>
      <c r="L1060" s="71"/>
    </row>
    <row r="1061" spans="6:12" x14ac:dyDescent="0.3">
      <c r="F1061" s="50"/>
      <c r="G1061" s="51"/>
      <c r="H1061" s="49"/>
      <c r="I1061" s="70"/>
      <c r="J1061" s="70"/>
      <c r="K1061" s="71"/>
      <c r="L1061" s="71"/>
    </row>
    <row r="1062" spans="6:12" x14ac:dyDescent="0.3">
      <c r="F1062" s="50"/>
      <c r="G1062" s="51"/>
      <c r="H1062" s="49"/>
      <c r="I1062" s="70"/>
      <c r="J1062" s="70"/>
      <c r="K1062" s="71"/>
      <c r="L1062" s="71"/>
    </row>
    <row r="1063" spans="6:12" x14ac:dyDescent="0.3">
      <c r="F1063" s="50"/>
      <c r="G1063" s="51"/>
      <c r="H1063" s="49"/>
      <c r="I1063" s="70"/>
      <c r="J1063" s="70"/>
      <c r="K1063" s="71"/>
      <c r="L1063" s="71"/>
    </row>
    <row r="1064" spans="6:12" x14ac:dyDescent="0.3">
      <c r="F1064" s="50"/>
      <c r="G1064" s="51"/>
      <c r="H1064" s="49"/>
      <c r="I1064" s="70"/>
      <c r="J1064" s="70"/>
      <c r="K1064" s="71"/>
      <c r="L1064" s="71"/>
    </row>
    <row r="1065" spans="6:12" x14ac:dyDescent="0.3">
      <c r="F1065" s="50"/>
      <c r="G1065" s="51"/>
      <c r="H1065" s="49"/>
      <c r="I1065" s="70"/>
      <c r="J1065" s="70"/>
      <c r="K1065" s="71"/>
      <c r="L1065" s="71"/>
    </row>
    <row r="1066" spans="6:12" x14ac:dyDescent="0.3">
      <c r="F1066" s="50"/>
      <c r="G1066" s="51"/>
      <c r="H1066" s="49"/>
      <c r="I1066" s="70"/>
      <c r="J1066" s="70"/>
      <c r="K1066" s="71"/>
      <c r="L1066" s="71"/>
    </row>
    <row r="1067" spans="6:12" x14ac:dyDescent="0.3">
      <c r="F1067" s="50"/>
      <c r="G1067" s="51"/>
      <c r="H1067" s="49"/>
      <c r="I1067" s="70"/>
      <c r="J1067" s="70"/>
      <c r="K1067" s="71"/>
      <c r="L1067" s="71"/>
    </row>
    <row r="1068" spans="6:12" x14ac:dyDescent="0.3">
      <c r="F1068" s="50"/>
      <c r="G1068" s="51"/>
      <c r="H1068" s="49"/>
      <c r="I1068" s="70"/>
      <c r="J1068" s="70"/>
      <c r="K1068" s="71"/>
      <c r="L1068" s="71"/>
    </row>
    <row r="1069" spans="6:12" x14ac:dyDescent="0.3">
      <c r="F1069" s="50"/>
      <c r="G1069" s="51"/>
      <c r="H1069" s="49"/>
      <c r="I1069" s="70"/>
      <c r="J1069" s="70"/>
      <c r="K1069" s="71"/>
      <c r="L1069" s="71"/>
    </row>
    <row r="1070" spans="6:12" x14ac:dyDescent="0.3">
      <c r="F1070" s="50"/>
      <c r="G1070" s="51"/>
      <c r="H1070" s="49"/>
      <c r="I1070" s="70"/>
      <c r="J1070" s="70"/>
      <c r="K1070" s="71"/>
      <c r="L1070" s="71"/>
    </row>
    <row r="1071" spans="6:12" x14ac:dyDescent="0.3">
      <c r="F1071" s="50"/>
      <c r="G1071" s="51"/>
      <c r="H1071" s="49"/>
      <c r="I1071" s="70"/>
      <c r="J1071" s="70"/>
      <c r="K1071" s="71"/>
      <c r="L1071" s="71"/>
    </row>
    <row r="1072" spans="6:12" x14ac:dyDescent="0.3">
      <c r="F1072" s="50"/>
      <c r="G1072" s="51"/>
      <c r="H1072" s="49"/>
      <c r="I1072" s="70"/>
      <c r="J1072" s="70"/>
      <c r="K1072" s="71"/>
      <c r="L1072" s="71"/>
    </row>
    <row r="1073" spans="6:12" x14ac:dyDescent="0.3">
      <c r="F1073" s="50"/>
      <c r="G1073" s="51"/>
      <c r="H1073" s="49"/>
      <c r="I1073" s="70"/>
      <c r="J1073" s="70"/>
      <c r="K1073" s="71"/>
      <c r="L1073" s="71"/>
    </row>
    <row r="1074" spans="6:12" x14ac:dyDescent="0.3">
      <c r="F1074" s="50"/>
      <c r="G1074" s="51"/>
      <c r="H1074" s="49"/>
      <c r="I1074" s="70"/>
      <c r="J1074" s="70"/>
      <c r="K1074" s="71"/>
      <c r="L1074" s="71"/>
    </row>
    <row r="1075" spans="6:12" x14ac:dyDescent="0.3">
      <c r="F1075" s="50"/>
      <c r="G1075" s="51"/>
      <c r="H1075" s="49"/>
      <c r="I1075" s="70"/>
      <c r="J1075" s="70"/>
      <c r="K1075" s="71"/>
      <c r="L1075" s="71"/>
    </row>
    <row r="1076" spans="6:12" x14ac:dyDescent="0.3">
      <c r="F1076" s="50"/>
      <c r="G1076" s="51"/>
      <c r="H1076" s="49"/>
      <c r="I1076" s="70"/>
      <c r="J1076" s="70"/>
      <c r="K1076" s="71"/>
      <c r="L1076" s="71"/>
    </row>
    <row r="1077" spans="6:12" x14ac:dyDescent="0.3">
      <c r="F1077" s="50"/>
      <c r="G1077" s="51"/>
      <c r="H1077" s="49"/>
      <c r="I1077" s="70"/>
      <c r="J1077" s="70"/>
      <c r="K1077" s="71"/>
      <c r="L1077" s="71"/>
    </row>
    <row r="1078" spans="6:12" x14ac:dyDescent="0.3">
      <c r="F1078" s="50"/>
      <c r="G1078" s="51"/>
      <c r="H1078" s="49"/>
      <c r="I1078" s="70"/>
      <c r="J1078" s="70"/>
      <c r="K1078" s="71"/>
      <c r="L1078" s="71"/>
    </row>
    <row r="1079" spans="6:12" x14ac:dyDescent="0.3">
      <c r="F1079" s="50"/>
      <c r="G1079" s="51"/>
      <c r="H1079" s="49"/>
      <c r="I1079" s="70"/>
      <c r="J1079" s="70"/>
      <c r="K1079" s="71"/>
      <c r="L1079" s="71"/>
    </row>
    <row r="1080" spans="6:12" x14ac:dyDescent="0.3">
      <c r="F1080" s="50"/>
      <c r="G1080" s="51"/>
      <c r="H1080" s="49"/>
      <c r="I1080" s="70"/>
      <c r="J1080" s="70"/>
      <c r="K1080" s="71"/>
      <c r="L1080" s="71"/>
    </row>
    <row r="1081" spans="6:12" x14ac:dyDescent="0.3">
      <c r="F1081" s="50"/>
      <c r="G1081" s="51"/>
      <c r="H1081" s="49"/>
      <c r="I1081" s="70"/>
      <c r="J1081" s="70"/>
      <c r="K1081" s="71"/>
      <c r="L1081" s="71"/>
    </row>
    <row r="1082" spans="6:12" x14ac:dyDescent="0.3">
      <c r="F1082" s="50"/>
      <c r="G1082" s="51"/>
      <c r="H1082" s="49"/>
      <c r="I1082" s="70"/>
      <c r="J1082" s="70"/>
      <c r="K1082" s="71"/>
      <c r="L1082" s="71"/>
    </row>
    <row r="1083" spans="6:12" x14ac:dyDescent="0.3">
      <c r="F1083" s="50"/>
      <c r="G1083" s="51"/>
      <c r="H1083" s="49"/>
      <c r="I1083" s="70"/>
      <c r="J1083" s="70"/>
      <c r="K1083" s="71"/>
      <c r="L1083" s="71"/>
    </row>
    <row r="1084" spans="6:12" x14ac:dyDescent="0.3">
      <c r="F1084" s="50"/>
      <c r="G1084" s="51"/>
      <c r="H1084" s="49"/>
      <c r="I1084" s="70"/>
      <c r="J1084" s="70"/>
      <c r="K1084" s="71"/>
      <c r="L1084" s="71"/>
    </row>
    <row r="1085" spans="6:12" x14ac:dyDescent="0.3">
      <c r="F1085" s="50"/>
      <c r="G1085" s="51"/>
      <c r="H1085" s="49"/>
      <c r="I1085" s="70"/>
      <c r="J1085" s="70"/>
      <c r="K1085" s="71"/>
      <c r="L1085" s="71"/>
    </row>
    <row r="1086" spans="6:12" x14ac:dyDescent="0.3">
      <c r="F1086" s="50"/>
      <c r="G1086" s="51"/>
      <c r="H1086" s="49"/>
      <c r="I1086" s="70"/>
      <c r="J1086" s="70"/>
      <c r="K1086" s="71"/>
      <c r="L1086" s="71"/>
    </row>
    <row r="1087" spans="6:12" x14ac:dyDescent="0.3">
      <c r="F1087" s="50"/>
      <c r="G1087" s="51"/>
      <c r="H1087" s="49"/>
      <c r="I1087" s="70"/>
      <c r="J1087" s="70"/>
      <c r="K1087" s="71"/>
      <c r="L1087" s="71"/>
    </row>
    <row r="1088" spans="6:12" x14ac:dyDescent="0.3">
      <c r="F1088" s="50"/>
      <c r="G1088" s="51"/>
      <c r="H1088" s="49"/>
      <c r="I1088" s="70"/>
      <c r="J1088" s="70"/>
      <c r="K1088" s="71"/>
      <c r="L1088" s="71"/>
    </row>
    <row r="1089" spans="6:12" x14ac:dyDescent="0.3">
      <c r="F1089" s="50"/>
      <c r="G1089" s="51"/>
      <c r="H1089" s="49"/>
      <c r="I1089" s="70"/>
      <c r="J1089" s="70"/>
      <c r="K1089" s="71"/>
      <c r="L1089" s="71"/>
    </row>
    <row r="1090" spans="6:12" x14ac:dyDescent="0.3">
      <c r="F1090" s="50"/>
      <c r="G1090" s="51"/>
      <c r="H1090" s="49"/>
      <c r="I1090" s="70"/>
      <c r="J1090" s="70"/>
      <c r="K1090" s="71"/>
      <c r="L1090" s="71"/>
    </row>
    <row r="1091" spans="6:12" x14ac:dyDescent="0.3">
      <c r="F1091" s="50"/>
      <c r="G1091" s="51"/>
      <c r="H1091" s="49"/>
      <c r="I1091" s="70"/>
      <c r="J1091" s="70"/>
      <c r="K1091" s="71"/>
      <c r="L1091" s="71"/>
    </row>
    <row r="1092" spans="6:12" x14ac:dyDescent="0.3">
      <c r="F1092" s="50"/>
      <c r="G1092" s="51"/>
      <c r="H1092" s="49"/>
      <c r="I1092" s="70"/>
      <c r="J1092" s="70"/>
      <c r="K1092" s="71"/>
      <c r="L1092" s="71"/>
    </row>
    <row r="1093" spans="6:12" x14ac:dyDescent="0.3">
      <c r="F1093" s="50"/>
      <c r="G1093" s="51"/>
      <c r="H1093" s="49"/>
      <c r="I1093" s="70"/>
      <c r="J1093" s="70"/>
      <c r="K1093" s="71"/>
      <c r="L1093" s="71"/>
    </row>
    <row r="1094" spans="6:12" x14ac:dyDescent="0.3">
      <c r="F1094" s="50"/>
      <c r="G1094" s="51"/>
      <c r="H1094" s="49"/>
      <c r="I1094" s="70"/>
      <c r="J1094" s="70"/>
      <c r="K1094" s="71"/>
      <c r="L1094" s="71"/>
    </row>
    <row r="1095" spans="6:12" x14ac:dyDescent="0.3">
      <c r="F1095" s="50"/>
      <c r="G1095" s="51"/>
      <c r="H1095" s="49"/>
      <c r="I1095" s="70"/>
      <c r="J1095" s="70"/>
      <c r="K1095" s="71"/>
      <c r="L1095" s="71"/>
    </row>
    <row r="1096" spans="6:12" x14ac:dyDescent="0.3">
      <c r="F1096" s="50"/>
      <c r="G1096" s="51"/>
      <c r="H1096" s="49"/>
      <c r="I1096" s="70"/>
      <c r="J1096" s="70"/>
      <c r="K1096" s="71"/>
      <c r="L1096" s="71"/>
    </row>
    <row r="1097" spans="6:12" x14ac:dyDescent="0.3">
      <c r="F1097" s="50"/>
      <c r="G1097" s="51"/>
      <c r="H1097" s="49"/>
      <c r="I1097" s="70"/>
      <c r="J1097" s="70"/>
      <c r="K1097" s="71"/>
      <c r="L1097" s="71"/>
    </row>
    <row r="1098" spans="6:12" x14ac:dyDescent="0.3">
      <c r="F1098" s="50"/>
      <c r="G1098" s="51"/>
      <c r="H1098" s="49"/>
      <c r="I1098" s="70"/>
      <c r="J1098" s="70"/>
      <c r="K1098" s="71"/>
      <c r="L1098" s="71"/>
    </row>
    <row r="1099" spans="6:12" x14ac:dyDescent="0.3">
      <c r="F1099" s="50"/>
      <c r="G1099" s="51"/>
      <c r="H1099" s="49"/>
      <c r="I1099" s="70"/>
      <c r="J1099" s="70"/>
      <c r="K1099" s="71"/>
      <c r="L1099" s="71"/>
    </row>
    <row r="1100" spans="6:12" x14ac:dyDescent="0.3">
      <c r="F1100" s="50"/>
      <c r="G1100" s="51"/>
      <c r="H1100" s="49"/>
      <c r="I1100" s="70"/>
      <c r="J1100" s="70"/>
      <c r="K1100" s="71"/>
      <c r="L1100" s="71"/>
    </row>
    <row r="1101" spans="6:12" x14ac:dyDescent="0.3">
      <c r="F1101" s="50"/>
      <c r="G1101" s="51"/>
      <c r="H1101" s="49"/>
      <c r="I1101" s="70"/>
      <c r="J1101" s="70"/>
      <c r="K1101" s="71"/>
      <c r="L1101" s="71"/>
    </row>
    <row r="1102" spans="6:12" x14ac:dyDescent="0.3">
      <c r="F1102" s="50"/>
      <c r="G1102" s="51"/>
      <c r="H1102" s="49"/>
      <c r="I1102" s="70"/>
      <c r="J1102" s="70"/>
      <c r="K1102" s="71"/>
      <c r="L1102" s="71"/>
    </row>
    <row r="1103" spans="6:12" x14ac:dyDescent="0.3">
      <c r="F1103" s="50"/>
      <c r="G1103" s="51"/>
      <c r="H1103" s="49"/>
      <c r="I1103" s="70"/>
      <c r="J1103" s="70"/>
      <c r="K1103" s="71"/>
      <c r="L1103" s="71"/>
    </row>
    <row r="1104" spans="6:12" x14ac:dyDescent="0.3">
      <c r="F1104" s="50"/>
      <c r="G1104" s="51"/>
      <c r="H1104" s="49"/>
      <c r="I1104" s="70"/>
      <c r="J1104" s="70"/>
      <c r="K1104" s="71"/>
      <c r="L1104" s="71"/>
    </row>
    <row r="1105" spans="6:12" x14ac:dyDescent="0.3">
      <c r="F1105" s="50"/>
      <c r="G1105" s="51"/>
      <c r="H1105" s="49"/>
      <c r="I1105" s="70"/>
      <c r="J1105" s="70"/>
      <c r="K1105" s="71"/>
      <c r="L1105" s="71"/>
    </row>
    <row r="1106" spans="6:12" x14ac:dyDescent="0.3">
      <c r="F1106" s="50"/>
      <c r="G1106" s="51"/>
      <c r="H1106" s="49"/>
      <c r="I1106" s="70"/>
      <c r="J1106" s="70"/>
      <c r="K1106" s="71"/>
      <c r="L1106" s="71"/>
    </row>
    <row r="1107" spans="6:12" x14ac:dyDescent="0.3">
      <c r="F1107" s="50"/>
      <c r="G1107" s="51"/>
      <c r="H1107" s="49"/>
      <c r="I1107" s="70"/>
      <c r="J1107" s="70"/>
      <c r="K1107" s="71"/>
      <c r="L1107" s="71"/>
    </row>
    <row r="1108" spans="6:12" x14ac:dyDescent="0.3">
      <c r="F1108" s="50"/>
      <c r="G1108" s="51"/>
      <c r="H1108" s="49"/>
      <c r="I1108" s="70"/>
      <c r="J1108" s="70"/>
      <c r="K1108" s="71"/>
      <c r="L1108" s="71"/>
    </row>
    <row r="1109" spans="6:12" x14ac:dyDescent="0.3">
      <c r="F1109" s="50"/>
      <c r="G1109" s="51"/>
      <c r="H1109" s="49"/>
      <c r="I1109" s="70"/>
      <c r="J1109" s="70"/>
      <c r="K1109" s="71"/>
      <c r="L1109" s="71"/>
    </row>
    <row r="1110" spans="6:12" x14ac:dyDescent="0.3">
      <c r="F1110" s="50"/>
      <c r="G1110" s="51"/>
      <c r="H1110" s="49"/>
      <c r="I1110" s="70"/>
      <c r="J1110" s="70"/>
      <c r="K1110" s="71"/>
      <c r="L1110" s="71"/>
    </row>
    <row r="1111" spans="6:12" x14ac:dyDescent="0.3">
      <c r="F1111" s="50"/>
      <c r="G1111" s="51"/>
      <c r="H1111" s="49"/>
      <c r="I1111" s="70"/>
      <c r="J1111" s="70"/>
      <c r="K1111" s="71"/>
      <c r="L1111" s="71"/>
    </row>
    <row r="1112" spans="6:12" x14ac:dyDescent="0.3">
      <c r="F1112" s="50"/>
      <c r="G1112" s="51"/>
      <c r="H1112" s="49"/>
      <c r="I1112" s="70"/>
      <c r="J1112" s="70"/>
      <c r="K1112" s="71"/>
      <c r="L1112" s="71"/>
    </row>
    <row r="1113" spans="6:12" x14ac:dyDescent="0.3">
      <c r="F1113" s="50"/>
      <c r="G1113" s="51"/>
      <c r="H1113" s="49"/>
      <c r="I1113" s="70"/>
      <c r="J1113" s="70"/>
      <c r="K1113" s="71"/>
      <c r="L1113" s="71"/>
    </row>
    <row r="1114" spans="6:12" x14ac:dyDescent="0.3">
      <c r="F1114" s="50"/>
      <c r="G1114" s="51"/>
      <c r="H1114" s="49"/>
      <c r="I1114" s="70"/>
      <c r="J1114" s="70"/>
      <c r="K1114" s="71"/>
      <c r="L1114" s="71"/>
    </row>
    <row r="1115" spans="6:12" x14ac:dyDescent="0.3">
      <c r="F1115" s="50"/>
      <c r="G1115" s="51"/>
      <c r="H1115" s="49"/>
      <c r="I1115" s="70"/>
      <c r="J1115" s="70"/>
      <c r="K1115" s="71"/>
      <c r="L1115" s="71"/>
    </row>
    <row r="1116" spans="6:12" x14ac:dyDescent="0.3">
      <c r="F1116" s="50"/>
      <c r="G1116" s="51"/>
      <c r="H1116" s="49"/>
      <c r="I1116" s="70"/>
      <c r="J1116" s="70"/>
      <c r="K1116" s="71"/>
      <c r="L1116" s="71"/>
    </row>
    <row r="1117" spans="6:12" x14ac:dyDescent="0.3">
      <c r="F1117" s="50"/>
      <c r="G1117" s="51"/>
      <c r="H1117" s="49"/>
      <c r="I1117" s="70"/>
      <c r="J1117" s="70"/>
      <c r="K1117" s="71"/>
      <c r="L1117" s="71"/>
    </row>
    <row r="1118" spans="6:12" x14ac:dyDescent="0.3">
      <c r="F1118" s="50"/>
      <c r="G1118" s="51"/>
      <c r="H1118" s="49"/>
      <c r="I1118" s="70"/>
      <c r="J1118" s="70"/>
      <c r="K1118" s="71"/>
      <c r="L1118" s="71"/>
    </row>
    <row r="1119" spans="6:12" x14ac:dyDescent="0.3">
      <c r="F1119" s="50"/>
      <c r="G1119" s="51"/>
      <c r="H1119" s="49"/>
      <c r="I1119" s="70"/>
      <c r="J1119" s="70"/>
      <c r="K1119" s="71"/>
      <c r="L1119" s="71"/>
    </row>
    <row r="1120" spans="6:12" x14ac:dyDescent="0.3">
      <c r="F1120" s="50"/>
      <c r="G1120" s="51"/>
      <c r="H1120" s="49"/>
      <c r="I1120" s="70"/>
      <c r="J1120" s="70"/>
      <c r="K1120" s="71"/>
      <c r="L1120" s="71"/>
    </row>
    <row r="1121" spans="6:12" x14ac:dyDescent="0.3">
      <c r="F1121" s="50"/>
      <c r="G1121" s="51"/>
      <c r="H1121" s="49"/>
      <c r="I1121" s="70"/>
      <c r="J1121" s="70"/>
      <c r="K1121" s="71"/>
      <c r="L1121" s="71"/>
    </row>
    <row r="1122" spans="6:12" x14ac:dyDescent="0.3">
      <c r="F1122" s="50"/>
      <c r="G1122" s="51"/>
      <c r="H1122" s="49"/>
      <c r="I1122" s="70"/>
      <c r="J1122" s="70"/>
      <c r="K1122" s="71"/>
      <c r="L1122" s="71"/>
    </row>
    <row r="1123" spans="6:12" x14ac:dyDescent="0.3">
      <c r="F1123" s="50"/>
      <c r="G1123" s="51"/>
      <c r="H1123" s="49"/>
      <c r="I1123" s="70"/>
      <c r="J1123" s="70"/>
      <c r="K1123" s="71"/>
      <c r="L1123" s="71"/>
    </row>
    <row r="1124" spans="6:12" x14ac:dyDescent="0.3">
      <c r="F1124" s="50"/>
      <c r="G1124" s="51"/>
      <c r="H1124" s="49"/>
      <c r="I1124" s="70"/>
      <c r="J1124" s="70"/>
      <c r="K1124" s="71"/>
      <c r="L1124" s="71"/>
    </row>
    <row r="1125" spans="6:12" x14ac:dyDescent="0.3">
      <c r="F1125" s="50"/>
      <c r="G1125" s="51"/>
      <c r="H1125" s="49"/>
      <c r="I1125" s="70"/>
      <c r="J1125" s="70"/>
      <c r="K1125" s="71"/>
      <c r="L1125" s="71"/>
    </row>
    <row r="1126" spans="6:12" x14ac:dyDescent="0.3">
      <c r="F1126" s="50"/>
      <c r="G1126" s="51"/>
      <c r="H1126" s="49"/>
      <c r="I1126" s="70"/>
      <c r="J1126" s="70"/>
      <c r="K1126" s="71"/>
      <c r="L1126" s="71"/>
    </row>
    <row r="1127" spans="6:12" x14ac:dyDescent="0.3">
      <c r="F1127" s="50"/>
      <c r="G1127" s="51"/>
      <c r="H1127" s="49"/>
      <c r="I1127" s="70"/>
      <c r="J1127" s="70"/>
      <c r="K1127" s="71"/>
      <c r="L1127" s="71"/>
    </row>
    <row r="1128" spans="6:12" x14ac:dyDescent="0.3">
      <c r="F1128" s="50"/>
      <c r="G1128" s="51"/>
      <c r="H1128" s="49"/>
      <c r="I1128" s="70"/>
      <c r="J1128" s="70"/>
      <c r="K1128" s="71"/>
      <c r="L1128" s="71"/>
    </row>
    <row r="1129" spans="6:12" x14ac:dyDescent="0.3">
      <c r="F1129" s="50"/>
      <c r="G1129" s="51"/>
      <c r="H1129" s="49"/>
      <c r="I1129" s="70"/>
      <c r="J1129" s="70"/>
      <c r="K1129" s="71"/>
      <c r="L1129" s="71"/>
    </row>
    <row r="1130" spans="6:12" x14ac:dyDescent="0.3">
      <c r="F1130" s="50"/>
      <c r="G1130" s="51"/>
      <c r="H1130" s="49"/>
      <c r="I1130" s="70"/>
      <c r="J1130" s="70"/>
      <c r="K1130" s="71"/>
      <c r="L1130" s="71"/>
    </row>
    <row r="1131" spans="6:12" x14ac:dyDescent="0.3">
      <c r="F1131" s="50"/>
      <c r="G1131" s="51"/>
      <c r="H1131" s="49"/>
      <c r="I1131" s="70"/>
      <c r="J1131" s="70"/>
      <c r="K1131" s="71"/>
      <c r="L1131" s="71"/>
    </row>
    <row r="1132" spans="6:12" x14ac:dyDescent="0.3">
      <c r="F1132" s="50"/>
      <c r="G1132" s="51"/>
      <c r="H1132" s="49"/>
      <c r="I1132" s="70"/>
      <c r="J1132" s="70"/>
      <c r="K1132" s="71"/>
      <c r="L1132" s="71"/>
    </row>
    <row r="1133" spans="6:12" x14ac:dyDescent="0.3">
      <c r="F1133" s="50"/>
      <c r="G1133" s="51"/>
      <c r="H1133" s="49"/>
      <c r="I1133" s="70"/>
      <c r="J1133" s="70"/>
      <c r="K1133" s="71"/>
      <c r="L1133" s="71"/>
    </row>
    <row r="1134" spans="6:12" x14ac:dyDescent="0.3">
      <c r="F1134" s="50"/>
      <c r="G1134" s="51"/>
      <c r="H1134" s="49"/>
      <c r="I1134" s="70"/>
      <c r="J1134" s="70"/>
      <c r="K1134" s="71"/>
      <c r="L1134" s="71"/>
    </row>
    <row r="1135" spans="6:12" x14ac:dyDescent="0.3">
      <c r="F1135" s="50"/>
      <c r="G1135" s="51"/>
      <c r="H1135" s="49"/>
      <c r="I1135" s="70"/>
      <c r="J1135" s="70"/>
      <c r="K1135" s="71"/>
      <c r="L1135" s="71"/>
    </row>
    <row r="1136" spans="6:12" x14ac:dyDescent="0.3">
      <c r="F1136" s="50"/>
      <c r="G1136" s="51"/>
      <c r="H1136" s="49"/>
      <c r="I1136" s="70"/>
      <c r="J1136" s="70"/>
      <c r="K1136" s="71"/>
      <c r="L1136" s="71"/>
    </row>
    <row r="1137" spans="6:12" x14ac:dyDescent="0.3">
      <c r="F1137" s="50"/>
      <c r="G1137" s="51"/>
      <c r="H1137" s="49"/>
      <c r="I1137" s="70"/>
      <c r="J1137" s="70"/>
      <c r="K1137" s="71"/>
      <c r="L1137" s="71"/>
    </row>
    <row r="1138" spans="6:12" x14ac:dyDescent="0.3">
      <c r="F1138" s="50"/>
      <c r="G1138" s="51"/>
      <c r="H1138" s="49"/>
      <c r="I1138" s="70"/>
      <c r="J1138" s="70"/>
      <c r="K1138" s="71"/>
      <c r="L1138" s="71"/>
    </row>
    <row r="1139" spans="6:12" x14ac:dyDescent="0.3">
      <c r="F1139" s="50"/>
      <c r="G1139" s="51"/>
      <c r="H1139" s="49"/>
      <c r="I1139" s="70"/>
      <c r="J1139" s="70"/>
      <c r="K1139" s="71"/>
      <c r="L1139" s="71"/>
    </row>
    <row r="1140" spans="6:12" x14ac:dyDescent="0.3">
      <c r="F1140" s="50"/>
      <c r="G1140" s="51"/>
      <c r="H1140" s="49"/>
      <c r="I1140" s="70"/>
      <c r="J1140" s="70"/>
      <c r="K1140" s="71"/>
      <c r="L1140" s="71"/>
    </row>
    <row r="1141" spans="6:12" x14ac:dyDescent="0.3">
      <c r="F1141" s="50"/>
      <c r="G1141" s="51"/>
      <c r="H1141" s="49"/>
      <c r="I1141" s="70"/>
      <c r="J1141" s="70"/>
      <c r="K1141" s="71"/>
      <c r="L1141" s="71"/>
    </row>
    <row r="1142" spans="6:12" x14ac:dyDescent="0.3">
      <c r="F1142" s="50"/>
      <c r="G1142" s="51"/>
      <c r="H1142" s="49"/>
      <c r="I1142" s="70"/>
      <c r="J1142" s="70"/>
      <c r="K1142" s="71"/>
      <c r="L1142" s="71"/>
    </row>
    <row r="1143" spans="6:12" x14ac:dyDescent="0.3">
      <c r="F1143" s="50"/>
      <c r="G1143" s="51"/>
      <c r="H1143" s="49"/>
      <c r="I1143" s="70"/>
      <c r="J1143" s="70"/>
      <c r="K1143" s="71"/>
      <c r="L1143" s="71"/>
    </row>
    <row r="1144" spans="6:12" x14ac:dyDescent="0.3">
      <c r="F1144" s="50"/>
      <c r="G1144" s="51"/>
      <c r="H1144" s="49"/>
      <c r="I1144" s="70"/>
      <c r="J1144" s="70"/>
      <c r="K1144" s="71"/>
      <c r="L1144" s="71"/>
    </row>
    <row r="1145" spans="6:12" x14ac:dyDescent="0.3">
      <c r="F1145" s="50"/>
      <c r="G1145" s="51"/>
      <c r="H1145" s="49"/>
      <c r="I1145" s="70"/>
      <c r="J1145" s="70"/>
      <c r="K1145" s="71"/>
      <c r="L1145" s="71"/>
    </row>
    <row r="1146" spans="6:12" x14ac:dyDescent="0.3">
      <c r="F1146" s="50"/>
      <c r="G1146" s="51"/>
      <c r="H1146" s="49"/>
      <c r="I1146" s="70"/>
      <c r="J1146" s="70"/>
      <c r="K1146" s="71"/>
      <c r="L1146" s="71"/>
    </row>
    <row r="1147" spans="6:12" x14ac:dyDescent="0.3">
      <c r="F1147" s="50"/>
      <c r="G1147" s="51"/>
      <c r="H1147" s="49"/>
      <c r="I1147" s="70"/>
      <c r="J1147" s="70"/>
      <c r="K1147" s="71"/>
      <c r="L1147" s="71"/>
    </row>
    <row r="1148" spans="6:12" x14ac:dyDescent="0.3">
      <c r="F1148" s="50"/>
      <c r="G1148" s="51"/>
      <c r="H1148" s="49"/>
      <c r="I1148" s="70"/>
      <c r="J1148" s="70"/>
      <c r="K1148" s="71"/>
      <c r="L1148" s="71"/>
    </row>
    <row r="1149" spans="6:12" x14ac:dyDescent="0.3">
      <c r="F1149" s="50"/>
      <c r="G1149" s="51"/>
      <c r="H1149" s="49"/>
      <c r="I1149" s="70"/>
      <c r="J1149" s="70"/>
      <c r="K1149" s="71"/>
      <c r="L1149" s="71"/>
    </row>
    <row r="1150" spans="6:12" x14ac:dyDescent="0.3">
      <c r="F1150" s="50"/>
      <c r="G1150" s="51"/>
      <c r="H1150" s="49"/>
      <c r="I1150" s="70"/>
      <c r="J1150" s="70"/>
      <c r="K1150" s="71"/>
      <c r="L1150" s="71"/>
    </row>
    <row r="1151" spans="6:12" x14ac:dyDescent="0.3">
      <c r="F1151" s="50"/>
      <c r="G1151" s="51"/>
      <c r="H1151" s="49"/>
      <c r="I1151" s="70"/>
      <c r="J1151" s="70"/>
      <c r="K1151" s="71"/>
      <c r="L1151" s="71"/>
    </row>
    <row r="1152" spans="6:12" x14ac:dyDescent="0.3">
      <c r="F1152" s="50"/>
      <c r="G1152" s="51"/>
      <c r="H1152" s="49"/>
      <c r="I1152" s="70"/>
      <c r="J1152" s="70"/>
      <c r="K1152" s="71"/>
      <c r="L1152" s="71"/>
    </row>
    <row r="1153" spans="6:12" x14ac:dyDescent="0.3">
      <c r="F1153" s="50"/>
      <c r="G1153" s="51"/>
      <c r="H1153" s="49"/>
      <c r="I1153" s="70"/>
      <c r="J1153" s="70"/>
      <c r="K1153" s="71"/>
      <c r="L1153" s="71"/>
    </row>
    <row r="1154" spans="6:12" x14ac:dyDescent="0.3">
      <c r="F1154" s="50"/>
      <c r="G1154" s="51"/>
      <c r="H1154" s="49"/>
      <c r="I1154" s="70"/>
      <c r="J1154" s="70"/>
      <c r="K1154" s="71"/>
      <c r="L1154" s="71"/>
    </row>
    <row r="1155" spans="6:12" x14ac:dyDescent="0.3">
      <c r="F1155" s="50"/>
      <c r="G1155" s="51"/>
      <c r="H1155" s="49"/>
      <c r="I1155" s="70"/>
      <c r="J1155" s="70"/>
      <c r="K1155" s="71"/>
      <c r="L1155" s="71"/>
    </row>
    <row r="1156" spans="6:12" x14ac:dyDescent="0.3">
      <c r="F1156" s="50"/>
      <c r="G1156" s="51"/>
      <c r="H1156" s="49"/>
      <c r="I1156" s="70"/>
      <c r="J1156" s="70"/>
      <c r="K1156" s="71"/>
      <c r="L1156" s="71"/>
    </row>
    <row r="1157" spans="6:12" x14ac:dyDescent="0.3">
      <c r="F1157" s="50"/>
      <c r="G1157" s="51"/>
      <c r="H1157" s="49"/>
      <c r="I1157" s="70"/>
      <c r="J1157" s="70"/>
      <c r="K1157" s="71"/>
      <c r="L1157" s="71"/>
    </row>
    <row r="1158" spans="6:12" x14ac:dyDescent="0.3">
      <c r="F1158" s="50"/>
      <c r="G1158" s="51"/>
      <c r="H1158" s="49"/>
      <c r="I1158" s="70"/>
      <c r="J1158" s="70"/>
      <c r="K1158" s="71"/>
      <c r="L1158" s="71"/>
    </row>
    <row r="1159" spans="6:12" x14ac:dyDescent="0.3">
      <c r="F1159" s="50"/>
      <c r="G1159" s="51"/>
      <c r="H1159" s="49"/>
      <c r="I1159" s="70"/>
      <c r="J1159" s="70"/>
      <c r="K1159" s="71"/>
      <c r="L1159" s="71"/>
    </row>
    <row r="1160" spans="6:12" x14ac:dyDescent="0.3">
      <c r="F1160" s="50"/>
      <c r="G1160" s="51"/>
      <c r="H1160" s="49"/>
      <c r="I1160" s="70"/>
      <c r="J1160" s="70"/>
      <c r="K1160" s="71"/>
      <c r="L1160" s="71"/>
    </row>
    <row r="1161" spans="6:12" x14ac:dyDescent="0.3">
      <c r="F1161" s="50"/>
      <c r="G1161" s="51"/>
      <c r="H1161" s="49"/>
      <c r="I1161" s="70"/>
      <c r="J1161" s="70"/>
      <c r="K1161" s="71"/>
      <c r="L1161" s="71"/>
    </row>
    <row r="1162" spans="6:12" x14ac:dyDescent="0.3">
      <c r="F1162" s="50"/>
      <c r="G1162" s="51"/>
      <c r="H1162" s="49"/>
      <c r="I1162" s="70"/>
      <c r="J1162" s="70"/>
      <c r="K1162" s="71"/>
      <c r="L1162" s="71"/>
    </row>
    <row r="1163" spans="6:12" x14ac:dyDescent="0.3">
      <c r="F1163" s="50"/>
      <c r="G1163" s="51"/>
      <c r="H1163" s="49"/>
      <c r="I1163" s="70"/>
      <c r="J1163" s="70"/>
      <c r="K1163" s="71"/>
      <c r="L1163" s="71"/>
    </row>
    <row r="1164" spans="6:12" x14ac:dyDescent="0.3">
      <c r="F1164" s="50"/>
      <c r="G1164" s="51"/>
      <c r="H1164" s="49"/>
      <c r="I1164" s="70"/>
      <c r="J1164" s="70"/>
      <c r="K1164" s="71"/>
      <c r="L1164" s="71"/>
    </row>
    <row r="1165" spans="6:12" x14ac:dyDescent="0.3">
      <c r="F1165" s="50"/>
      <c r="G1165" s="51"/>
      <c r="H1165" s="49"/>
      <c r="I1165" s="70"/>
      <c r="J1165" s="70"/>
      <c r="K1165" s="71"/>
      <c r="L1165" s="71"/>
    </row>
    <row r="1166" spans="6:12" x14ac:dyDescent="0.3">
      <c r="F1166" s="50"/>
      <c r="G1166" s="51"/>
      <c r="H1166" s="49"/>
      <c r="I1166" s="70"/>
      <c r="J1166" s="70"/>
      <c r="K1166" s="71"/>
      <c r="L1166" s="71"/>
    </row>
    <row r="1167" spans="6:12" x14ac:dyDescent="0.3">
      <c r="F1167" s="50"/>
      <c r="G1167" s="51"/>
      <c r="H1167" s="49"/>
      <c r="I1167" s="70"/>
      <c r="J1167" s="70"/>
      <c r="K1167" s="71"/>
      <c r="L1167" s="71"/>
    </row>
    <row r="1168" spans="6:12" x14ac:dyDescent="0.3">
      <c r="F1168" s="50"/>
      <c r="G1168" s="51"/>
      <c r="H1168" s="49"/>
      <c r="I1168" s="70"/>
      <c r="J1168" s="70"/>
      <c r="K1168" s="71"/>
      <c r="L1168" s="71"/>
    </row>
    <row r="1169" spans="6:12" x14ac:dyDescent="0.3">
      <c r="F1169" s="50"/>
      <c r="G1169" s="51"/>
      <c r="H1169" s="49"/>
      <c r="I1169" s="70"/>
      <c r="J1169" s="70"/>
      <c r="K1169" s="71"/>
      <c r="L1169" s="71"/>
    </row>
    <row r="1170" spans="6:12" x14ac:dyDescent="0.3">
      <c r="F1170" s="50"/>
      <c r="G1170" s="51"/>
      <c r="H1170" s="49"/>
      <c r="I1170" s="70"/>
      <c r="J1170" s="70"/>
      <c r="K1170" s="71"/>
      <c r="L1170" s="71"/>
    </row>
    <row r="1171" spans="6:12" x14ac:dyDescent="0.3">
      <c r="F1171" s="50"/>
      <c r="G1171" s="51"/>
      <c r="H1171" s="49"/>
      <c r="I1171" s="70"/>
      <c r="J1171" s="70"/>
      <c r="K1171" s="71"/>
      <c r="L1171" s="71"/>
    </row>
    <row r="1172" spans="6:12" x14ac:dyDescent="0.3">
      <c r="F1172" s="50"/>
      <c r="G1172" s="51"/>
      <c r="H1172" s="49"/>
      <c r="I1172" s="70"/>
      <c r="J1172" s="70"/>
      <c r="K1172" s="71"/>
      <c r="L1172" s="71"/>
    </row>
    <row r="1173" spans="6:12" x14ac:dyDescent="0.3">
      <c r="F1173" s="50"/>
      <c r="G1173" s="51"/>
      <c r="H1173" s="49"/>
      <c r="I1173" s="70"/>
      <c r="J1173" s="70"/>
      <c r="K1173" s="71"/>
      <c r="L1173" s="71"/>
    </row>
    <row r="1174" spans="6:12" x14ac:dyDescent="0.3">
      <c r="F1174" s="50"/>
      <c r="G1174" s="51"/>
      <c r="H1174" s="49"/>
      <c r="I1174" s="70"/>
      <c r="J1174" s="70"/>
      <c r="K1174" s="71"/>
      <c r="L1174" s="71"/>
    </row>
    <row r="1175" spans="6:12" x14ac:dyDescent="0.3">
      <c r="F1175" s="50"/>
      <c r="G1175" s="51"/>
      <c r="H1175" s="49"/>
      <c r="I1175" s="70"/>
      <c r="J1175" s="70"/>
      <c r="K1175" s="71"/>
      <c r="L1175" s="71"/>
    </row>
    <row r="1176" spans="6:12" x14ac:dyDescent="0.3">
      <c r="F1176" s="50"/>
      <c r="G1176" s="51"/>
      <c r="H1176" s="49"/>
      <c r="I1176" s="70"/>
      <c r="J1176" s="70"/>
      <c r="K1176" s="71"/>
      <c r="L1176" s="71"/>
    </row>
    <row r="1177" spans="6:12" x14ac:dyDescent="0.3">
      <c r="F1177" s="50"/>
      <c r="G1177" s="51"/>
      <c r="H1177" s="49"/>
      <c r="I1177" s="70"/>
      <c r="J1177" s="70"/>
      <c r="K1177" s="71"/>
      <c r="L1177" s="71"/>
    </row>
    <row r="1178" spans="6:12" x14ac:dyDescent="0.3">
      <c r="F1178" s="50"/>
      <c r="G1178" s="51"/>
      <c r="H1178" s="49"/>
      <c r="I1178" s="70"/>
      <c r="J1178" s="70"/>
      <c r="K1178" s="71"/>
      <c r="L1178" s="71"/>
    </row>
    <row r="1179" spans="6:12" x14ac:dyDescent="0.3">
      <c r="F1179" s="50"/>
      <c r="G1179" s="51"/>
      <c r="H1179" s="49"/>
      <c r="I1179" s="70"/>
      <c r="J1179" s="70"/>
      <c r="K1179" s="71"/>
      <c r="L1179" s="71"/>
    </row>
    <row r="1180" spans="6:12" x14ac:dyDescent="0.3">
      <c r="F1180" s="50"/>
      <c r="G1180" s="51"/>
      <c r="H1180" s="49"/>
      <c r="I1180" s="70"/>
      <c r="J1180" s="70"/>
      <c r="K1180" s="71"/>
      <c r="L1180" s="71"/>
    </row>
    <row r="1181" spans="6:12" x14ac:dyDescent="0.3">
      <c r="F1181" s="50"/>
      <c r="G1181" s="51"/>
      <c r="H1181" s="49"/>
      <c r="I1181" s="70"/>
      <c r="J1181" s="70"/>
      <c r="K1181" s="71"/>
      <c r="L1181" s="71"/>
    </row>
    <row r="1182" spans="6:12" x14ac:dyDescent="0.3">
      <c r="F1182" s="50"/>
      <c r="G1182" s="51"/>
      <c r="H1182" s="49"/>
      <c r="I1182" s="70"/>
      <c r="J1182" s="70"/>
      <c r="K1182" s="71"/>
      <c r="L1182" s="71"/>
    </row>
    <row r="1183" spans="6:12" x14ac:dyDescent="0.3">
      <c r="F1183" s="50"/>
      <c r="G1183" s="51"/>
      <c r="H1183" s="49"/>
      <c r="I1183" s="70"/>
      <c r="J1183" s="70"/>
      <c r="K1183" s="71"/>
      <c r="L1183" s="71"/>
    </row>
    <row r="1184" spans="6:12" x14ac:dyDescent="0.3">
      <c r="F1184" s="50"/>
      <c r="G1184" s="51"/>
      <c r="H1184" s="49"/>
      <c r="I1184" s="70"/>
      <c r="J1184" s="70"/>
      <c r="K1184" s="71"/>
      <c r="L1184" s="71"/>
    </row>
    <row r="1185" spans="6:12" x14ac:dyDescent="0.3">
      <c r="F1185" s="50"/>
      <c r="G1185" s="51"/>
      <c r="H1185" s="49"/>
      <c r="I1185" s="70"/>
      <c r="J1185" s="70"/>
      <c r="K1185" s="71"/>
      <c r="L1185" s="71"/>
    </row>
    <row r="1186" spans="6:12" x14ac:dyDescent="0.3">
      <c r="F1186" s="50"/>
      <c r="G1186" s="51"/>
      <c r="H1186" s="49"/>
      <c r="I1186" s="70"/>
      <c r="J1186" s="70"/>
      <c r="K1186" s="71"/>
      <c r="L1186" s="71"/>
    </row>
    <row r="1187" spans="6:12" x14ac:dyDescent="0.3">
      <c r="F1187" s="50"/>
      <c r="G1187" s="51"/>
      <c r="H1187" s="49"/>
      <c r="I1187" s="70"/>
      <c r="J1187" s="70"/>
      <c r="K1187" s="71"/>
      <c r="L1187" s="71"/>
    </row>
    <row r="1188" spans="6:12" x14ac:dyDescent="0.3">
      <c r="F1188" s="50"/>
      <c r="G1188" s="51"/>
      <c r="H1188" s="49"/>
      <c r="I1188" s="70"/>
      <c r="J1188" s="70"/>
      <c r="K1188" s="71"/>
      <c r="L1188" s="71"/>
    </row>
    <row r="1189" spans="6:12" x14ac:dyDescent="0.3">
      <c r="F1189" s="50"/>
      <c r="G1189" s="51"/>
      <c r="H1189" s="49"/>
      <c r="I1189" s="70"/>
      <c r="J1189" s="70"/>
      <c r="K1189" s="71"/>
      <c r="L1189" s="71"/>
    </row>
    <row r="1190" spans="6:12" x14ac:dyDescent="0.3">
      <c r="F1190" s="50"/>
      <c r="G1190" s="51"/>
      <c r="H1190" s="49"/>
      <c r="I1190" s="70"/>
      <c r="J1190" s="70"/>
      <c r="K1190" s="71"/>
      <c r="L1190" s="71"/>
    </row>
    <row r="1191" spans="6:12" x14ac:dyDescent="0.3">
      <c r="F1191" s="50"/>
      <c r="G1191" s="51"/>
      <c r="H1191" s="49"/>
      <c r="I1191" s="70"/>
      <c r="J1191" s="70"/>
      <c r="K1191" s="71"/>
      <c r="L1191" s="71"/>
    </row>
    <row r="1192" spans="6:12" x14ac:dyDescent="0.3">
      <c r="F1192" s="50"/>
      <c r="G1192" s="51"/>
      <c r="H1192" s="49"/>
      <c r="I1192" s="70"/>
      <c r="J1192" s="70"/>
      <c r="K1192" s="71"/>
      <c r="L1192" s="71"/>
    </row>
    <row r="1193" spans="6:12" x14ac:dyDescent="0.3">
      <c r="F1193" s="50"/>
      <c r="G1193" s="51"/>
      <c r="H1193" s="49"/>
      <c r="I1193" s="70"/>
      <c r="J1193" s="70"/>
      <c r="K1193" s="71"/>
      <c r="L1193" s="71"/>
    </row>
    <row r="1194" spans="6:12" x14ac:dyDescent="0.3">
      <c r="F1194" s="50"/>
      <c r="G1194" s="51"/>
      <c r="H1194" s="49"/>
      <c r="I1194" s="70"/>
      <c r="J1194" s="70"/>
      <c r="K1194" s="71"/>
      <c r="L1194" s="71"/>
    </row>
    <row r="1195" spans="6:12" x14ac:dyDescent="0.3">
      <c r="F1195" s="50"/>
      <c r="G1195" s="51"/>
      <c r="H1195" s="49"/>
      <c r="I1195" s="70"/>
      <c r="J1195" s="70"/>
      <c r="K1195" s="71"/>
      <c r="L1195" s="71"/>
    </row>
    <row r="1196" spans="6:12" x14ac:dyDescent="0.3">
      <c r="F1196" s="50"/>
      <c r="G1196" s="51"/>
      <c r="H1196" s="49"/>
      <c r="I1196" s="70"/>
      <c r="J1196" s="70"/>
      <c r="K1196" s="71"/>
      <c r="L1196" s="71"/>
    </row>
    <row r="1197" spans="6:12" x14ac:dyDescent="0.3">
      <c r="F1197" s="50"/>
      <c r="G1197" s="51"/>
      <c r="H1197" s="49"/>
      <c r="I1197" s="70"/>
      <c r="J1197" s="70"/>
      <c r="K1197" s="71"/>
      <c r="L1197" s="71"/>
    </row>
    <row r="1198" spans="6:12" x14ac:dyDescent="0.3">
      <c r="F1198" s="50"/>
      <c r="G1198" s="51"/>
      <c r="H1198" s="49"/>
      <c r="I1198" s="70"/>
      <c r="J1198" s="70"/>
      <c r="K1198" s="71"/>
      <c r="L1198" s="71"/>
    </row>
    <row r="1199" spans="6:12" x14ac:dyDescent="0.3">
      <c r="F1199" s="50"/>
      <c r="G1199" s="51"/>
      <c r="H1199" s="49"/>
      <c r="I1199" s="70"/>
      <c r="J1199" s="70"/>
      <c r="K1199" s="71"/>
      <c r="L1199" s="71"/>
    </row>
    <row r="1200" spans="6:12" x14ac:dyDescent="0.3">
      <c r="F1200" s="50"/>
      <c r="G1200" s="51"/>
      <c r="H1200" s="49"/>
      <c r="I1200" s="70"/>
      <c r="J1200" s="70"/>
      <c r="K1200" s="71"/>
      <c r="L1200" s="71"/>
    </row>
    <row r="1201" spans="6:12" x14ac:dyDescent="0.3">
      <c r="F1201" s="50"/>
      <c r="G1201" s="51"/>
      <c r="H1201" s="49"/>
      <c r="I1201" s="70"/>
      <c r="J1201" s="70"/>
      <c r="K1201" s="71"/>
      <c r="L1201" s="71"/>
    </row>
    <row r="1202" spans="6:12" x14ac:dyDescent="0.3">
      <c r="F1202" s="50"/>
      <c r="G1202" s="51"/>
      <c r="H1202" s="49"/>
      <c r="I1202" s="70"/>
      <c r="J1202" s="70"/>
      <c r="K1202" s="71"/>
      <c r="L1202" s="71"/>
    </row>
    <row r="1203" spans="6:12" x14ac:dyDescent="0.3">
      <c r="F1203" s="50"/>
      <c r="G1203" s="51"/>
      <c r="H1203" s="49"/>
      <c r="I1203" s="70"/>
      <c r="J1203" s="70"/>
      <c r="K1203" s="71"/>
      <c r="L1203" s="71"/>
    </row>
    <row r="1204" spans="6:12" x14ac:dyDescent="0.3">
      <c r="F1204" s="50"/>
      <c r="G1204" s="51"/>
      <c r="H1204" s="49"/>
      <c r="I1204" s="70"/>
      <c r="J1204" s="70"/>
      <c r="K1204" s="71"/>
      <c r="L1204" s="71"/>
    </row>
    <row r="1205" spans="6:12" x14ac:dyDescent="0.3">
      <c r="F1205" s="50"/>
      <c r="G1205" s="51"/>
      <c r="H1205" s="49"/>
      <c r="I1205" s="70"/>
      <c r="J1205" s="70"/>
      <c r="K1205" s="71"/>
      <c r="L1205" s="71"/>
    </row>
    <row r="1206" spans="6:12" x14ac:dyDescent="0.3">
      <c r="F1206" s="50"/>
      <c r="G1206" s="51"/>
      <c r="H1206" s="49"/>
      <c r="I1206" s="70"/>
      <c r="J1206" s="70"/>
      <c r="K1206" s="71"/>
      <c r="L1206" s="71"/>
    </row>
    <row r="1207" spans="6:12" x14ac:dyDescent="0.3">
      <c r="F1207" s="50"/>
      <c r="G1207" s="51"/>
      <c r="H1207" s="49"/>
      <c r="I1207" s="70"/>
      <c r="J1207" s="70"/>
      <c r="K1207" s="71"/>
      <c r="L1207" s="71"/>
    </row>
    <row r="1208" spans="6:12" x14ac:dyDescent="0.3">
      <c r="F1208" s="50"/>
      <c r="G1208" s="51"/>
      <c r="H1208" s="49"/>
      <c r="I1208" s="70"/>
      <c r="J1208" s="70"/>
      <c r="K1208" s="71"/>
      <c r="L1208" s="71"/>
    </row>
    <row r="1209" spans="6:12" x14ac:dyDescent="0.3">
      <c r="F1209" s="50"/>
      <c r="G1209" s="51"/>
      <c r="H1209" s="49"/>
      <c r="I1209" s="70"/>
      <c r="J1209" s="70"/>
      <c r="K1209" s="71"/>
      <c r="L1209" s="71"/>
    </row>
    <row r="1210" spans="6:12" x14ac:dyDescent="0.3">
      <c r="F1210" s="50"/>
      <c r="G1210" s="51"/>
      <c r="H1210" s="49"/>
      <c r="I1210" s="70"/>
      <c r="J1210" s="70"/>
      <c r="K1210" s="71"/>
      <c r="L1210" s="71"/>
    </row>
    <row r="1211" spans="6:12" x14ac:dyDescent="0.3">
      <c r="F1211" s="50"/>
      <c r="G1211" s="51"/>
      <c r="H1211" s="49"/>
      <c r="I1211" s="70"/>
      <c r="J1211" s="70"/>
      <c r="K1211" s="71"/>
      <c r="L1211" s="71"/>
    </row>
    <row r="1212" spans="6:12" x14ac:dyDescent="0.3">
      <c r="F1212" s="50"/>
      <c r="G1212" s="51"/>
      <c r="H1212" s="49"/>
      <c r="I1212" s="70"/>
      <c r="J1212" s="70"/>
      <c r="K1212" s="71"/>
      <c r="L1212" s="71"/>
    </row>
    <row r="1213" spans="6:12" x14ac:dyDescent="0.3">
      <c r="F1213" s="50"/>
      <c r="G1213" s="51"/>
      <c r="H1213" s="49"/>
      <c r="I1213" s="70"/>
      <c r="J1213" s="70"/>
      <c r="K1213" s="71"/>
      <c r="L1213" s="71"/>
    </row>
    <row r="1214" spans="6:12" x14ac:dyDescent="0.3">
      <c r="F1214" s="50"/>
      <c r="G1214" s="51"/>
      <c r="H1214" s="49"/>
      <c r="I1214" s="70"/>
      <c r="J1214" s="70"/>
      <c r="K1214" s="71"/>
      <c r="L1214" s="71"/>
    </row>
    <row r="1215" spans="6:12" x14ac:dyDescent="0.3">
      <c r="F1215" s="50"/>
      <c r="G1215" s="51"/>
      <c r="H1215" s="49"/>
      <c r="I1215" s="70"/>
      <c r="J1215" s="70"/>
      <c r="K1215" s="71"/>
      <c r="L1215" s="71"/>
    </row>
    <row r="1216" spans="6:12" x14ac:dyDescent="0.3">
      <c r="F1216" s="50"/>
      <c r="G1216" s="51"/>
      <c r="H1216" s="49"/>
      <c r="I1216" s="70"/>
      <c r="J1216" s="70"/>
      <c r="K1216" s="71"/>
      <c r="L1216" s="71"/>
    </row>
    <row r="1217" spans="6:12" x14ac:dyDescent="0.3">
      <c r="F1217" s="50"/>
      <c r="G1217" s="51"/>
      <c r="H1217" s="49"/>
      <c r="I1217" s="70"/>
      <c r="J1217" s="70"/>
      <c r="K1217" s="71"/>
      <c r="L1217" s="71"/>
    </row>
    <row r="1218" spans="6:12" x14ac:dyDescent="0.3">
      <c r="F1218" s="50"/>
      <c r="G1218" s="51"/>
      <c r="H1218" s="49"/>
      <c r="I1218" s="70"/>
      <c r="J1218" s="70"/>
      <c r="K1218" s="71"/>
      <c r="L1218" s="71"/>
    </row>
    <row r="1219" spans="6:12" x14ac:dyDescent="0.3">
      <c r="F1219" s="50"/>
      <c r="G1219" s="51"/>
      <c r="H1219" s="49"/>
      <c r="I1219" s="70"/>
      <c r="J1219" s="70"/>
      <c r="K1219" s="71"/>
      <c r="L1219" s="71"/>
    </row>
    <row r="1220" spans="6:12" x14ac:dyDescent="0.3">
      <c r="F1220" s="50"/>
      <c r="G1220" s="51"/>
      <c r="H1220" s="49"/>
      <c r="I1220" s="70"/>
      <c r="J1220" s="70"/>
      <c r="K1220" s="71"/>
      <c r="L1220" s="71"/>
    </row>
    <row r="1221" spans="6:12" x14ac:dyDescent="0.3">
      <c r="F1221" s="50"/>
      <c r="G1221" s="51"/>
      <c r="H1221" s="49"/>
      <c r="I1221" s="70"/>
      <c r="J1221" s="70"/>
      <c r="K1221" s="71"/>
      <c r="L1221" s="71"/>
    </row>
    <row r="1222" spans="6:12" x14ac:dyDescent="0.3">
      <c r="F1222" s="50"/>
      <c r="G1222" s="51"/>
      <c r="H1222" s="49"/>
      <c r="I1222" s="70"/>
      <c r="J1222" s="70"/>
      <c r="K1222" s="71"/>
      <c r="L1222" s="71"/>
    </row>
    <row r="1223" spans="6:12" x14ac:dyDescent="0.3">
      <c r="F1223" s="50"/>
      <c r="G1223" s="51"/>
      <c r="H1223" s="49"/>
      <c r="I1223" s="70"/>
      <c r="J1223" s="70"/>
      <c r="K1223" s="71"/>
      <c r="L1223" s="71"/>
    </row>
    <row r="1224" spans="6:12" x14ac:dyDescent="0.3">
      <c r="F1224" s="50"/>
      <c r="G1224" s="51"/>
      <c r="H1224" s="49"/>
      <c r="I1224" s="70"/>
      <c r="J1224" s="70"/>
      <c r="K1224" s="71"/>
      <c r="L1224" s="71"/>
    </row>
    <row r="1225" spans="6:12" x14ac:dyDescent="0.3">
      <c r="F1225" s="50"/>
      <c r="G1225" s="51"/>
      <c r="H1225" s="49"/>
      <c r="I1225" s="70"/>
      <c r="J1225" s="70"/>
      <c r="K1225" s="71"/>
      <c r="L1225" s="71"/>
    </row>
    <row r="1226" spans="6:12" x14ac:dyDescent="0.3">
      <c r="F1226" s="50"/>
      <c r="G1226" s="51"/>
      <c r="H1226" s="49"/>
      <c r="I1226" s="70"/>
      <c r="J1226" s="70"/>
      <c r="K1226" s="71"/>
      <c r="L1226" s="71"/>
    </row>
    <row r="1227" spans="6:12" x14ac:dyDescent="0.3">
      <c r="F1227" s="50"/>
      <c r="G1227" s="51"/>
      <c r="H1227" s="49"/>
      <c r="I1227" s="70"/>
      <c r="J1227" s="70"/>
      <c r="K1227" s="71"/>
      <c r="L1227" s="71"/>
    </row>
    <row r="1228" spans="6:12" x14ac:dyDescent="0.3">
      <c r="F1228" s="50"/>
      <c r="G1228" s="51"/>
      <c r="H1228" s="49"/>
      <c r="I1228" s="70"/>
      <c r="J1228" s="70"/>
      <c r="K1228" s="71"/>
      <c r="L1228" s="71"/>
    </row>
    <row r="1229" spans="6:12" x14ac:dyDescent="0.3">
      <c r="F1229" s="50"/>
      <c r="G1229" s="51"/>
      <c r="H1229" s="49"/>
      <c r="I1229" s="70"/>
      <c r="J1229" s="70"/>
      <c r="K1229" s="71"/>
      <c r="L1229" s="71"/>
    </row>
    <row r="1230" spans="6:12" x14ac:dyDescent="0.3">
      <c r="F1230" s="50"/>
      <c r="G1230" s="51"/>
      <c r="H1230" s="49"/>
      <c r="I1230" s="70"/>
      <c r="J1230" s="70"/>
      <c r="K1230" s="71"/>
      <c r="L1230" s="71"/>
    </row>
    <row r="1231" spans="6:12" x14ac:dyDescent="0.3">
      <c r="F1231" s="50"/>
      <c r="G1231" s="51"/>
      <c r="H1231" s="49"/>
      <c r="I1231" s="70"/>
      <c r="J1231" s="70"/>
      <c r="K1231" s="71"/>
      <c r="L1231" s="71"/>
    </row>
    <row r="1232" spans="6:12" x14ac:dyDescent="0.3">
      <c r="F1232" s="50"/>
      <c r="G1232" s="51"/>
      <c r="H1232" s="49"/>
      <c r="I1232" s="70"/>
      <c r="J1232" s="70"/>
      <c r="K1232" s="71"/>
      <c r="L1232" s="71"/>
    </row>
    <row r="1233" spans="6:12" x14ac:dyDescent="0.3">
      <c r="F1233" s="50"/>
      <c r="G1233" s="51"/>
      <c r="H1233" s="49"/>
      <c r="I1233" s="70"/>
      <c r="J1233" s="70"/>
      <c r="K1233" s="71"/>
      <c r="L1233" s="71"/>
    </row>
    <row r="1234" spans="6:12" x14ac:dyDescent="0.3">
      <c r="F1234" s="50"/>
      <c r="G1234" s="51"/>
      <c r="H1234" s="49"/>
      <c r="I1234" s="70"/>
      <c r="J1234" s="70"/>
      <c r="K1234" s="71"/>
      <c r="L1234" s="71"/>
    </row>
    <row r="1235" spans="6:12" x14ac:dyDescent="0.3">
      <c r="F1235" s="50"/>
      <c r="G1235" s="51"/>
      <c r="H1235" s="49"/>
      <c r="I1235" s="70"/>
      <c r="J1235" s="70"/>
      <c r="K1235" s="71"/>
      <c r="L1235" s="71"/>
    </row>
    <row r="1236" spans="6:12" x14ac:dyDescent="0.3">
      <c r="F1236" s="50"/>
      <c r="G1236" s="51"/>
      <c r="H1236" s="49"/>
      <c r="I1236" s="70"/>
      <c r="J1236" s="70"/>
      <c r="K1236" s="71"/>
      <c r="L1236" s="71"/>
    </row>
    <row r="1237" spans="6:12" x14ac:dyDescent="0.3">
      <c r="F1237" s="50"/>
      <c r="G1237" s="51"/>
      <c r="H1237" s="49"/>
      <c r="I1237" s="70"/>
      <c r="J1237" s="70"/>
      <c r="K1237" s="71"/>
      <c r="L1237" s="71"/>
    </row>
    <row r="1238" spans="6:12" x14ac:dyDescent="0.3">
      <c r="F1238" s="50"/>
      <c r="G1238" s="51"/>
      <c r="H1238" s="49"/>
      <c r="I1238" s="70"/>
      <c r="J1238" s="70"/>
      <c r="K1238" s="71"/>
      <c r="L1238" s="71"/>
    </row>
    <row r="1239" spans="6:12" x14ac:dyDescent="0.3">
      <c r="F1239" s="50"/>
      <c r="G1239" s="51"/>
      <c r="H1239" s="49"/>
      <c r="I1239" s="70"/>
      <c r="J1239" s="70"/>
      <c r="K1239" s="71"/>
      <c r="L1239" s="71"/>
    </row>
    <row r="1240" spans="6:12" x14ac:dyDescent="0.3">
      <c r="F1240" s="50"/>
      <c r="G1240" s="51"/>
      <c r="H1240" s="49"/>
      <c r="I1240" s="70"/>
      <c r="J1240" s="70"/>
      <c r="K1240" s="71"/>
      <c r="L1240" s="71"/>
    </row>
    <row r="1241" spans="6:12" x14ac:dyDescent="0.3">
      <c r="F1241" s="50"/>
      <c r="G1241" s="51"/>
      <c r="H1241" s="49"/>
      <c r="I1241" s="70"/>
      <c r="J1241" s="70"/>
      <c r="K1241" s="71"/>
      <c r="L1241" s="71"/>
    </row>
    <row r="1242" spans="6:12" x14ac:dyDescent="0.3">
      <c r="F1242" s="50"/>
      <c r="G1242" s="51"/>
      <c r="H1242" s="49"/>
      <c r="I1242" s="70"/>
      <c r="J1242" s="70"/>
      <c r="K1242" s="71"/>
      <c r="L1242" s="71"/>
    </row>
    <row r="1243" spans="6:12" x14ac:dyDescent="0.3">
      <c r="F1243" s="50"/>
      <c r="G1243" s="51"/>
      <c r="H1243" s="49"/>
      <c r="I1243" s="70"/>
      <c r="J1243" s="70"/>
      <c r="K1243" s="71"/>
      <c r="L1243" s="71"/>
    </row>
    <row r="1244" spans="6:12" x14ac:dyDescent="0.3">
      <c r="F1244" s="50"/>
      <c r="G1244" s="51"/>
      <c r="H1244" s="49"/>
      <c r="I1244" s="70"/>
      <c r="J1244" s="70"/>
      <c r="K1244" s="71"/>
      <c r="L1244" s="71"/>
    </row>
    <row r="1245" spans="6:12" x14ac:dyDescent="0.3">
      <c r="F1245" s="50"/>
      <c r="G1245" s="51"/>
      <c r="H1245" s="49"/>
      <c r="I1245" s="70"/>
      <c r="J1245" s="70"/>
      <c r="K1245" s="71"/>
      <c r="L1245" s="71"/>
    </row>
    <row r="1246" spans="6:12" x14ac:dyDescent="0.3">
      <c r="F1246" s="50"/>
      <c r="G1246" s="51"/>
      <c r="H1246" s="49"/>
      <c r="I1246" s="70"/>
      <c r="J1246" s="70"/>
      <c r="K1246" s="71"/>
      <c r="L1246" s="71"/>
    </row>
    <row r="1247" spans="6:12" x14ac:dyDescent="0.3">
      <c r="F1247" s="50"/>
      <c r="G1247" s="51"/>
      <c r="H1247" s="49"/>
      <c r="I1247" s="70"/>
      <c r="J1247" s="70"/>
      <c r="K1247" s="71"/>
      <c r="L1247" s="71"/>
    </row>
    <row r="1248" spans="6:12" x14ac:dyDescent="0.3">
      <c r="F1248" s="50"/>
      <c r="G1248" s="51"/>
      <c r="H1248" s="49"/>
      <c r="I1248" s="70"/>
      <c r="J1248" s="70"/>
      <c r="K1248" s="71"/>
      <c r="L1248" s="71"/>
    </row>
    <row r="1249" spans="6:12" x14ac:dyDescent="0.3">
      <c r="F1249" s="50"/>
      <c r="G1249" s="51"/>
      <c r="H1249" s="49"/>
      <c r="I1249" s="70"/>
      <c r="J1249" s="70"/>
      <c r="K1249" s="71"/>
      <c r="L1249" s="71"/>
    </row>
    <row r="1250" spans="6:12" x14ac:dyDescent="0.3">
      <c r="F1250" s="50"/>
      <c r="G1250" s="51"/>
      <c r="H1250" s="49"/>
      <c r="I1250" s="70"/>
      <c r="J1250" s="70"/>
      <c r="K1250" s="71"/>
      <c r="L1250" s="71"/>
    </row>
    <row r="1251" spans="6:12" x14ac:dyDescent="0.3">
      <c r="F1251" s="50"/>
      <c r="G1251" s="51"/>
      <c r="H1251" s="49"/>
      <c r="I1251" s="70"/>
      <c r="J1251" s="70"/>
      <c r="K1251" s="71"/>
      <c r="L1251" s="71"/>
    </row>
    <row r="1252" spans="6:12" x14ac:dyDescent="0.3">
      <c r="F1252" s="50"/>
      <c r="G1252" s="51"/>
      <c r="H1252" s="49"/>
      <c r="I1252" s="70"/>
      <c r="J1252" s="70"/>
      <c r="K1252" s="71"/>
      <c r="L1252" s="71"/>
    </row>
    <row r="1253" spans="6:12" x14ac:dyDescent="0.3">
      <c r="F1253" s="50"/>
      <c r="G1253" s="51"/>
      <c r="H1253" s="49"/>
      <c r="I1253" s="70"/>
      <c r="J1253" s="70"/>
      <c r="K1253" s="71"/>
      <c r="L1253" s="71"/>
    </row>
    <row r="1254" spans="6:12" x14ac:dyDescent="0.3">
      <c r="F1254" s="50"/>
      <c r="G1254" s="51"/>
      <c r="H1254" s="49"/>
      <c r="I1254" s="70"/>
      <c r="J1254" s="70"/>
      <c r="K1254" s="71"/>
      <c r="L1254" s="71"/>
    </row>
    <row r="1255" spans="6:12" x14ac:dyDescent="0.3">
      <c r="F1255" s="50"/>
      <c r="G1255" s="51"/>
      <c r="H1255" s="49"/>
      <c r="I1255" s="70"/>
      <c r="J1255" s="70"/>
      <c r="K1255" s="71"/>
      <c r="L1255" s="71"/>
    </row>
    <row r="1256" spans="6:12" x14ac:dyDescent="0.3">
      <c r="F1256" s="50"/>
      <c r="G1256" s="51"/>
      <c r="H1256" s="49"/>
      <c r="I1256" s="70"/>
      <c r="J1256" s="70"/>
      <c r="K1256" s="71"/>
      <c r="L1256" s="71"/>
    </row>
    <row r="1257" spans="6:12" x14ac:dyDescent="0.3">
      <c r="F1257" s="50"/>
      <c r="G1257" s="51"/>
      <c r="H1257" s="49"/>
      <c r="I1257" s="70"/>
      <c r="J1257" s="70"/>
      <c r="K1257" s="71"/>
      <c r="L1257" s="71"/>
    </row>
    <row r="1258" spans="6:12" x14ac:dyDescent="0.3">
      <c r="F1258" s="50"/>
      <c r="G1258" s="51"/>
      <c r="H1258" s="49"/>
      <c r="I1258" s="70"/>
      <c r="J1258" s="70"/>
      <c r="K1258" s="71"/>
      <c r="L1258" s="71"/>
    </row>
    <row r="1259" spans="6:12" x14ac:dyDescent="0.3">
      <c r="F1259" s="50"/>
      <c r="G1259" s="51"/>
      <c r="H1259" s="49"/>
      <c r="I1259" s="70"/>
      <c r="J1259" s="70"/>
      <c r="K1259" s="71"/>
      <c r="L1259" s="71"/>
    </row>
    <row r="1260" spans="6:12" x14ac:dyDescent="0.3">
      <c r="F1260" s="50"/>
      <c r="G1260" s="51"/>
      <c r="H1260" s="49"/>
      <c r="I1260" s="70"/>
      <c r="J1260" s="70"/>
      <c r="K1260" s="71"/>
      <c r="L1260" s="71"/>
    </row>
    <row r="1261" spans="6:12" x14ac:dyDescent="0.3">
      <c r="F1261" s="50"/>
      <c r="G1261" s="51"/>
      <c r="H1261" s="49"/>
      <c r="I1261" s="70"/>
      <c r="J1261" s="70"/>
      <c r="K1261" s="71"/>
      <c r="L1261" s="71"/>
    </row>
    <row r="1262" spans="6:12" x14ac:dyDescent="0.3">
      <c r="F1262" s="50"/>
      <c r="G1262" s="51"/>
      <c r="H1262" s="49"/>
      <c r="I1262" s="70"/>
      <c r="J1262" s="70"/>
      <c r="K1262" s="71"/>
      <c r="L1262" s="71"/>
    </row>
    <row r="1263" spans="6:12" x14ac:dyDescent="0.3">
      <c r="F1263" s="50"/>
      <c r="G1263" s="51"/>
      <c r="H1263" s="49"/>
      <c r="I1263" s="70"/>
      <c r="J1263" s="70"/>
      <c r="K1263" s="71"/>
      <c r="L1263" s="71"/>
    </row>
    <row r="1264" spans="6:12" x14ac:dyDescent="0.3">
      <c r="F1264" s="50"/>
      <c r="G1264" s="51"/>
      <c r="H1264" s="49"/>
      <c r="I1264" s="70"/>
      <c r="J1264" s="70"/>
      <c r="K1264" s="71"/>
      <c r="L1264" s="71"/>
    </row>
    <row r="1265" spans="6:12" x14ac:dyDescent="0.3">
      <c r="F1265" s="50"/>
      <c r="G1265" s="51"/>
      <c r="H1265" s="49"/>
      <c r="I1265" s="70"/>
      <c r="J1265" s="70"/>
      <c r="K1265" s="71"/>
      <c r="L1265" s="71"/>
    </row>
    <row r="1266" spans="6:12" x14ac:dyDescent="0.3">
      <c r="F1266" s="50"/>
      <c r="G1266" s="51"/>
      <c r="H1266" s="49"/>
      <c r="I1266" s="70"/>
      <c r="J1266" s="70"/>
      <c r="K1266" s="71"/>
      <c r="L1266" s="71"/>
    </row>
    <row r="1267" spans="6:12" x14ac:dyDescent="0.3">
      <c r="F1267" s="50"/>
      <c r="G1267" s="51"/>
      <c r="H1267" s="49"/>
      <c r="I1267" s="70"/>
      <c r="J1267" s="70"/>
      <c r="K1267" s="71"/>
      <c r="L1267" s="71"/>
    </row>
    <row r="1268" spans="6:12" x14ac:dyDescent="0.3">
      <c r="F1268" s="50"/>
      <c r="G1268" s="51"/>
      <c r="H1268" s="49"/>
      <c r="I1268" s="70"/>
      <c r="J1268" s="70"/>
      <c r="K1268" s="71"/>
      <c r="L1268" s="71"/>
    </row>
    <row r="1269" spans="6:12" x14ac:dyDescent="0.3">
      <c r="F1269" s="50"/>
      <c r="G1269" s="51"/>
      <c r="H1269" s="49"/>
      <c r="I1269" s="70"/>
      <c r="J1269" s="70"/>
      <c r="K1269" s="71"/>
      <c r="L1269" s="71"/>
    </row>
    <row r="1270" spans="6:12" x14ac:dyDescent="0.3">
      <c r="F1270" s="50"/>
      <c r="G1270" s="51"/>
      <c r="H1270" s="49"/>
      <c r="I1270" s="70"/>
      <c r="J1270" s="70"/>
      <c r="K1270" s="71"/>
      <c r="L1270" s="71"/>
    </row>
    <row r="1271" spans="6:12" x14ac:dyDescent="0.3">
      <c r="F1271" s="50"/>
      <c r="G1271" s="51"/>
      <c r="H1271" s="49"/>
      <c r="I1271" s="70"/>
      <c r="J1271" s="70"/>
      <c r="K1271" s="71"/>
      <c r="L1271" s="71"/>
    </row>
    <row r="1272" spans="6:12" x14ac:dyDescent="0.3">
      <c r="F1272" s="50"/>
      <c r="G1272" s="51"/>
      <c r="H1272" s="49"/>
      <c r="I1272" s="70"/>
      <c r="J1272" s="70"/>
      <c r="K1272" s="71"/>
      <c r="L1272" s="71"/>
    </row>
    <row r="1273" spans="6:12" x14ac:dyDescent="0.3">
      <c r="F1273" s="50"/>
      <c r="G1273" s="51"/>
      <c r="H1273" s="49"/>
      <c r="I1273" s="70"/>
      <c r="J1273" s="70"/>
      <c r="K1273" s="71"/>
      <c r="L1273" s="71"/>
    </row>
    <row r="1274" spans="6:12" x14ac:dyDescent="0.3">
      <c r="F1274" s="50"/>
      <c r="G1274" s="51"/>
      <c r="H1274" s="49"/>
      <c r="I1274" s="70"/>
      <c r="J1274" s="70"/>
      <c r="K1274" s="71"/>
      <c r="L1274" s="71"/>
    </row>
    <row r="1275" spans="6:12" x14ac:dyDescent="0.3">
      <c r="F1275" s="50"/>
      <c r="G1275" s="51"/>
      <c r="H1275" s="49"/>
      <c r="I1275" s="70"/>
      <c r="J1275" s="70"/>
      <c r="K1275" s="71"/>
      <c r="L1275" s="71"/>
    </row>
    <row r="1276" spans="6:12" x14ac:dyDescent="0.3">
      <c r="F1276" s="50"/>
      <c r="G1276" s="51"/>
      <c r="H1276" s="49"/>
      <c r="I1276" s="70"/>
      <c r="J1276" s="70"/>
      <c r="K1276" s="71"/>
      <c r="L1276" s="71"/>
    </row>
    <row r="1277" spans="6:12" x14ac:dyDescent="0.3">
      <c r="F1277" s="50"/>
      <c r="G1277" s="51"/>
      <c r="H1277" s="49"/>
      <c r="I1277" s="70"/>
      <c r="J1277" s="70"/>
      <c r="K1277" s="71"/>
      <c r="L1277" s="71"/>
    </row>
    <row r="1278" spans="6:12" x14ac:dyDescent="0.3">
      <c r="F1278" s="50"/>
      <c r="G1278" s="51"/>
      <c r="H1278" s="49"/>
      <c r="I1278" s="70"/>
      <c r="J1278" s="70"/>
      <c r="K1278" s="71"/>
      <c r="L1278" s="71"/>
    </row>
    <row r="1279" spans="6:12" x14ac:dyDescent="0.3">
      <c r="F1279" s="50"/>
      <c r="G1279" s="51"/>
      <c r="H1279" s="49"/>
      <c r="I1279" s="70"/>
      <c r="J1279" s="70"/>
      <c r="K1279" s="71"/>
      <c r="L1279" s="71"/>
    </row>
    <row r="1280" spans="6:12" x14ac:dyDescent="0.3">
      <c r="F1280" s="50"/>
      <c r="G1280" s="51"/>
      <c r="H1280" s="49"/>
      <c r="I1280" s="70"/>
      <c r="J1280" s="70"/>
      <c r="K1280" s="71"/>
      <c r="L1280" s="71"/>
    </row>
    <row r="1281" spans="6:12" x14ac:dyDescent="0.3">
      <c r="F1281" s="50"/>
      <c r="G1281" s="51"/>
      <c r="H1281" s="49"/>
      <c r="I1281" s="70"/>
      <c r="J1281" s="70"/>
      <c r="K1281" s="71"/>
      <c r="L1281" s="71"/>
    </row>
    <row r="1282" spans="6:12" x14ac:dyDescent="0.3">
      <c r="F1282" s="50"/>
      <c r="G1282" s="51"/>
      <c r="H1282" s="49"/>
      <c r="I1282" s="70"/>
      <c r="J1282" s="70"/>
      <c r="K1282" s="71"/>
      <c r="L1282" s="71"/>
    </row>
    <row r="1283" spans="6:12" x14ac:dyDescent="0.3">
      <c r="F1283" s="50"/>
      <c r="G1283" s="51"/>
      <c r="H1283" s="49"/>
      <c r="I1283" s="70"/>
      <c r="J1283" s="70"/>
      <c r="K1283" s="71"/>
      <c r="L1283" s="71"/>
    </row>
    <row r="1284" spans="6:12" x14ac:dyDescent="0.3">
      <c r="F1284" s="50"/>
      <c r="G1284" s="51"/>
      <c r="H1284" s="49"/>
      <c r="I1284" s="70"/>
      <c r="J1284" s="70"/>
      <c r="K1284" s="71"/>
      <c r="L1284" s="71"/>
    </row>
    <row r="1285" spans="6:12" x14ac:dyDescent="0.3">
      <c r="F1285" s="50"/>
      <c r="G1285" s="51"/>
      <c r="H1285" s="49"/>
      <c r="I1285" s="70"/>
      <c r="J1285" s="70"/>
      <c r="K1285" s="71"/>
      <c r="L1285" s="71"/>
    </row>
    <row r="1286" spans="6:12" x14ac:dyDescent="0.3">
      <c r="F1286" s="50"/>
      <c r="G1286" s="51"/>
      <c r="H1286" s="49"/>
      <c r="I1286" s="70"/>
      <c r="J1286" s="70"/>
      <c r="K1286" s="71"/>
      <c r="L1286" s="71"/>
    </row>
    <row r="1287" spans="6:12" x14ac:dyDescent="0.3">
      <c r="F1287" s="50"/>
      <c r="G1287" s="51"/>
      <c r="H1287" s="49"/>
      <c r="I1287" s="70"/>
      <c r="J1287" s="70"/>
      <c r="K1287" s="71"/>
      <c r="L1287" s="71"/>
    </row>
    <row r="1288" spans="6:12" x14ac:dyDescent="0.3">
      <c r="F1288" s="50"/>
      <c r="G1288" s="51"/>
      <c r="H1288" s="49"/>
      <c r="I1288" s="70"/>
      <c r="J1288" s="70"/>
      <c r="K1288" s="71"/>
      <c r="L1288" s="71"/>
    </row>
    <row r="1289" spans="6:12" x14ac:dyDescent="0.3">
      <c r="F1289" s="50"/>
      <c r="G1289" s="51"/>
      <c r="H1289" s="49"/>
      <c r="I1289" s="70"/>
      <c r="J1289" s="70"/>
      <c r="K1289" s="71"/>
      <c r="L1289" s="71"/>
    </row>
    <row r="1290" spans="6:12" x14ac:dyDescent="0.3">
      <c r="F1290" s="50"/>
      <c r="G1290" s="51"/>
      <c r="H1290" s="49"/>
      <c r="I1290" s="70"/>
      <c r="J1290" s="70"/>
      <c r="K1290" s="71"/>
      <c r="L1290" s="71"/>
    </row>
    <row r="1291" spans="6:12" x14ac:dyDescent="0.3">
      <c r="F1291" s="50"/>
      <c r="G1291" s="51"/>
      <c r="H1291" s="49"/>
      <c r="I1291" s="70"/>
      <c r="J1291" s="70"/>
      <c r="K1291" s="71"/>
      <c r="L1291" s="71"/>
    </row>
    <row r="1292" spans="6:12" x14ac:dyDescent="0.3">
      <c r="F1292" s="50"/>
      <c r="G1292" s="51"/>
      <c r="H1292" s="49"/>
      <c r="I1292" s="70"/>
      <c r="J1292" s="70"/>
      <c r="K1292" s="71"/>
      <c r="L1292" s="71"/>
    </row>
    <row r="1293" spans="6:12" x14ac:dyDescent="0.3">
      <c r="F1293" s="50"/>
      <c r="G1293" s="51"/>
      <c r="H1293" s="49"/>
      <c r="I1293" s="70"/>
      <c r="J1293" s="70"/>
      <c r="K1293" s="71"/>
      <c r="L1293" s="71"/>
    </row>
    <row r="1294" spans="6:12" x14ac:dyDescent="0.3">
      <c r="F1294" s="50"/>
      <c r="G1294" s="51"/>
      <c r="H1294" s="49"/>
      <c r="I1294" s="70"/>
      <c r="J1294" s="70"/>
      <c r="K1294" s="71"/>
      <c r="L1294" s="71"/>
    </row>
    <row r="1295" spans="6:12" x14ac:dyDescent="0.3">
      <c r="F1295" s="50"/>
      <c r="G1295" s="51"/>
      <c r="H1295" s="49"/>
      <c r="I1295" s="70"/>
      <c r="J1295" s="70"/>
      <c r="K1295" s="71"/>
      <c r="L1295" s="71"/>
    </row>
    <row r="1296" spans="6:12" x14ac:dyDescent="0.3">
      <c r="F1296" s="50"/>
      <c r="G1296" s="51"/>
      <c r="H1296" s="49"/>
      <c r="I1296" s="70"/>
      <c r="J1296" s="70"/>
      <c r="K1296" s="71"/>
      <c r="L1296" s="71"/>
    </row>
    <row r="1297" spans="6:12" x14ac:dyDescent="0.3">
      <c r="F1297" s="50"/>
      <c r="G1297" s="51"/>
      <c r="H1297" s="49"/>
      <c r="I1297" s="70"/>
      <c r="J1297" s="70"/>
      <c r="K1297" s="71"/>
      <c r="L1297" s="71"/>
    </row>
    <row r="1298" spans="6:12" x14ac:dyDescent="0.3">
      <c r="F1298" s="50"/>
      <c r="G1298" s="51"/>
      <c r="H1298" s="49"/>
      <c r="I1298" s="70"/>
      <c r="J1298" s="70"/>
      <c r="K1298" s="71"/>
      <c r="L1298" s="71"/>
    </row>
    <row r="1299" spans="6:12" x14ac:dyDescent="0.3">
      <c r="F1299" s="50"/>
      <c r="G1299" s="51"/>
      <c r="H1299" s="49"/>
      <c r="I1299" s="70"/>
      <c r="J1299" s="70"/>
      <c r="K1299" s="71"/>
      <c r="L1299" s="71"/>
    </row>
    <row r="1300" spans="6:12" x14ac:dyDescent="0.3">
      <c r="F1300" s="50"/>
      <c r="G1300" s="51"/>
      <c r="H1300" s="49"/>
      <c r="I1300" s="70"/>
      <c r="J1300" s="70"/>
      <c r="K1300" s="71"/>
      <c r="L1300" s="71"/>
    </row>
    <row r="1301" spans="6:12" x14ac:dyDescent="0.3">
      <c r="F1301" s="50"/>
      <c r="G1301" s="51"/>
      <c r="H1301" s="49"/>
      <c r="I1301" s="70"/>
      <c r="J1301" s="70"/>
      <c r="K1301" s="71"/>
      <c r="L1301" s="71"/>
    </row>
    <row r="1302" spans="6:12" x14ac:dyDescent="0.3">
      <c r="F1302" s="50"/>
      <c r="G1302" s="51"/>
      <c r="H1302" s="49"/>
      <c r="I1302" s="70"/>
      <c r="J1302" s="70"/>
      <c r="K1302" s="71"/>
      <c r="L1302" s="71"/>
    </row>
    <row r="1303" spans="6:12" x14ac:dyDescent="0.3">
      <c r="F1303" s="50"/>
      <c r="G1303" s="51"/>
      <c r="H1303" s="49"/>
      <c r="I1303" s="70"/>
      <c r="J1303" s="70"/>
      <c r="K1303" s="71"/>
      <c r="L1303" s="71"/>
    </row>
    <row r="1304" spans="6:12" x14ac:dyDescent="0.3">
      <c r="F1304" s="50"/>
      <c r="G1304" s="51"/>
      <c r="H1304" s="49"/>
      <c r="I1304" s="70"/>
      <c r="J1304" s="70"/>
      <c r="K1304" s="71"/>
      <c r="L1304" s="71"/>
    </row>
    <row r="1305" spans="6:12" x14ac:dyDescent="0.3">
      <c r="F1305" s="50"/>
      <c r="G1305" s="51"/>
      <c r="H1305" s="49"/>
      <c r="I1305" s="70"/>
      <c r="J1305" s="70"/>
      <c r="K1305" s="71"/>
      <c r="L1305" s="71"/>
    </row>
    <row r="1306" spans="6:12" x14ac:dyDescent="0.3">
      <c r="F1306" s="50"/>
      <c r="G1306" s="51"/>
      <c r="H1306" s="49"/>
      <c r="I1306" s="70"/>
      <c r="J1306" s="70"/>
      <c r="K1306" s="71"/>
      <c r="L1306" s="71"/>
    </row>
    <row r="1307" spans="6:12" x14ac:dyDescent="0.3">
      <c r="F1307" s="50"/>
      <c r="G1307" s="51"/>
      <c r="H1307" s="49"/>
      <c r="I1307" s="70"/>
      <c r="J1307" s="70"/>
      <c r="K1307" s="71"/>
      <c r="L1307" s="71"/>
    </row>
    <row r="1308" spans="6:12" x14ac:dyDescent="0.3">
      <c r="F1308" s="50"/>
      <c r="G1308" s="51"/>
      <c r="H1308" s="49"/>
      <c r="I1308" s="70"/>
      <c r="J1308" s="70"/>
      <c r="K1308" s="71"/>
      <c r="L1308" s="71"/>
    </row>
    <row r="1309" spans="6:12" x14ac:dyDescent="0.3">
      <c r="F1309" s="50"/>
      <c r="G1309" s="51"/>
      <c r="H1309" s="49"/>
      <c r="I1309" s="70"/>
      <c r="J1309" s="70"/>
      <c r="K1309" s="71"/>
      <c r="L1309" s="71"/>
    </row>
    <row r="1310" spans="6:12" x14ac:dyDescent="0.3">
      <c r="I1310" s="71"/>
      <c r="J1310" s="71"/>
      <c r="K1310" s="71"/>
      <c r="L1310" s="71"/>
    </row>
    <row r="1311" spans="6:12" x14ac:dyDescent="0.3">
      <c r="I1311" s="71"/>
      <c r="J1311" s="71"/>
      <c r="K1311" s="71"/>
      <c r="L1311" s="71"/>
    </row>
    <row r="1312" spans="6:12" x14ac:dyDescent="0.3">
      <c r="I1312" s="71"/>
      <c r="J1312" s="71"/>
      <c r="K1312" s="71"/>
      <c r="L1312" s="71"/>
    </row>
    <row r="1313" spans="9:12" x14ac:dyDescent="0.3">
      <c r="I1313" s="71"/>
      <c r="J1313" s="71"/>
      <c r="K1313" s="71"/>
      <c r="L1313" s="71"/>
    </row>
    <row r="1314" spans="9:12" x14ac:dyDescent="0.3">
      <c r="I1314" s="71"/>
      <c r="J1314" s="71"/>
      <c r="K1314" s="71"/>
      <c r="L1314" s="71"/>
    </row>
    <row r="1315" spans="9:12" x14ac:dyDescent="0.3">
      <c r="I1315" s="71"/>
      <c r="J1315" s="71"/>
      <c r="K1315" s="71"/>
      <c r="L1315" s="71"/>
    </row>
    <row r="1316" spans="9:12" x14ac:dyDescent="0.3">
      <c r="I1316" s="71"/>
      <c r="J1316" s="71"/>
      <c r="K1316" s="71"/>
      <c r="L1316" s="71"/>
    </row>
    <row r="1317" spans="9:12" x14ac:dyDescent="0.3">
      <c r="I1317" s="71"/>
      <c r="J1317" s="71"/>
      <c r="K1317" s="71"/>
      <c r="L1317" s="71"/>
    </row>
    <row r="1318" spans="9:12" x14ac:dyDescent="0.3">
      <c r="I1318" s="71"/>
      <c r="J1318" s="71"/>
      <c r="K1318" s="71"/>
      <c r="L1318" s="71"/>
    </row>
    <row r="1319" spans="9:12" x14ac:dyDescent="0.3">
      <c r="I1319" s="71"/>
      <c r="J1319" s="71"/>
      <c r="K1319" s="71"/>
      <c r="L1319" s="71"/>
    </row>
    <row r="1320" spans="9:12" x14ac:dyDescent="0.3">
      <c r="I1320" s="71"/>
      <c r="J1320" s="71"/>
      <c r="K1320" s="71"/>
      <c r="L1320" s="71"/>
    </row>
    <row r="1321" spans="9:12" x14ac:dyDescent="0.3">
      <c r="I1321" s="71"/>
      <c r="J1321" s="71"/>
      <c r="K1321" s="71"/>
      <c r="L1321" s="71"/>
    </row>
    <row r="1322" spans="9:12" x14ac:dyDescent="0.3">
      <c r="I1322" s="71"/>
      <c r="J1322" s="71"/>
      <c r="K1322" s="71"/>
      <c r="L1322" s="71"/>
    </row>
    <row r="1323" spans="9:12" x14ac:dyDescent="0.3">
      <c r="I1323" s="71"/>
      <c r="J1323" s="71"/>
      <c r="K1323" s="71"/>
      <c r="L1323" s="71"/>
    </row>
    <row r="1324" spans="9:12" x14ac:dyDescent="0.3">
      <c r="I1324" s="71"/>
      <c r="J1324" s="71"/>
      <c r="K1324" s="71"/>
      <c r="L1324" s="71"/>
    </row>
    <row r="1325" spans="9:12" x14ac:dyDescent="0.3">
      <c r="I1325" s="71"/>
      <c r="J1325" s="71"/>
      <c r="K1325" s="71"/>
      <c r="L1325" s="71"/>
    </row>
    <row r="1326" spans="9:12" x14ac:dyDescent="0.3">
      <c r="I1326" s="71"/>
      <c r="J1326" s="71"/>
      <c r="K1326" s="71"/>
      <c r="L1326" s="71"/>
    </row>
    <row r="1327" spans="9:12" x14ac:dyDescent="0.3">
      <c r="I1327" s="71"/>
      <c r="J1327" s="71"/>
      <c r="K1327" s="71"/>
      <c r="L1327" s="71"/>
    </row>
    <row r="1328" spans="9:12" x14ac:dyDescent="0.3">
      <c r="I1328" s="71"/>
      <c r="J1328" s="71"/>
      <c r="K1328" s="71"/>
      <c r="L1328" s="71"/>
    </row>
    <row r="1329" spans="9:12" x14ac:dyDescent="0.3">
      <c r="I1329" s="71"/>
      <c r="J1329" s="71"/>
      <c r="K1329" s="71"/>
      <c r="L1329" s="71"/>
    </row>
    <row r="1330" spans="9:12" x14ac:dyDescent="0.3">
      <c r="I1330" s="71"/>
      <c r="J1330" s="71"/>
      <c r="K1330" s="71"/>
      <c r="L1330" s="71"/>
    </row>
    <row r="1331" spans="9:12" x14ac:dyDescent="0.3">
      <c r="I1331" s="71"/>
      <c r="J1331" s="71"/>
      <c r="K1331" s="71"/>
      <c r="L1331" s="71"/>
    </row>
    <row r="1332" spans="9:12" x14ac:dyDescent="0.3">
      <c r="I1332" s="71"/>
      <c r="J1332" s="71"/>
      <c r="K1332" s="71"/>
      <c r="L1332" s="71"/>
    </row>
    <row r="1333" spans="9:12" x14ac:dyDescent="0.3">
      <c r="I1333" s="71"/>
      <c r="J1333" s="71"/>
      <c r="K1333" s="71"/>
      <c r="L1333" s="71"/>
    </row>
    <row r="1334" spans="9:12" x14ac:dyDescent="0.3">
      <c r="I1334" s="71"/>
      <c r="J1334" s="71"/>
      <c r="K1334" s="71"/>
      <c r="L1334" s="71"/>
    </row>
    <row r="1335" spans="9:12" x14ac:dyDescent="0.3">
      <c r="I1335" s="71"/>
      <c r="J1335" s="71"/>
      <c r="K1335" s="71"/>
      <c r="L1335" s="71"/>
    </row>
    <row r="1336" spans="9:12" x14ac:dyDescent="0.3">
      <c r="I1336" s="71"/>
      <c r="J1336" s="71"/>
      <c r="K1336" s="71"/>
      <c r="L1336" s="71"/>
    </row>
    <row r="1337" spans="9:12" x14ac:dyDescent="0.3">
      <c r="I1337" s="71"/>
      <c r="J1337" s="71"/>
      <c r="K1337" s="71"/>
      <c r="L1337" s="71"/>
    </row>
    <row r="1338" spans="9:12" x14ac:dyDescent="0.3">
      <c r="I1338" s="71"/>
      <c r="J1338" s="71"/>
      <c r="K1338" s="71"/>
      <c r="L1338" s="71"/>
    </row>
    <row r="1339" spans="9:12" x14ac:dyDescent="0.3">
      <c r="I1339" s="71"/>
      <c r="J1339" s="71"/>
      <c r="K1339" s="71"/>
      <c r="L1339" s="71"/>
    </row>
    <row r="1340" spans="9:12" x14ac:dyDescent="0.3">
      <c r="I1340" s="71"/>
      <c r="J1340" s="71"/>
      <c r="K1340" s="71"/>
      <c r="L1340" s="71"/>
    </row>
    <row r="1341" spans="9:12" x14ac:dyDescent="0.3">
      <c r="I1341" s="71"/>
      <c r="J1341" s="71"/>
      <c r="K1341" s="71"/>
      <c r="L1341" s="71"/>
    </row>
    <row r="1342" spans="9:12" x14ac:dyDescent="0.3">
      <c r="I1342" s="71"/>
      <c r="J1342" s="71"/>
      <c r="K1342" s="71"/>
      <c r="L1342" s="71"/>
    </row>
    <row r="1343" spans="9:12" x14ac:dyDescent="0.3">
      <c r="I1343" s="71"/>
      <c r="J1343" s="71"/>
      <c r="K1343" s="71"/>
      <c r="L1343" s="71"/>
    </row>
    <row r="1344" spans="9:12" x14ac:dyDescent="0.3">
      <c r="I1344" s="71"/>
      <c r="J1344" s="71"/>
      <c r="K1344" s="71"/>
      <c r="L1344" s="71"/>
    </row>
    <row r="1345" spans="9:12" x14ac:dyDescent="0.3">
      <c r="I1345" s="71"/>
      <c r="J1345" s="71"/>
      <c r="K1345" s="71"/>
      <c r="L1345" s="71"/>
    </row>
    <row r="1346" spans="9:12" x14ac:dyDescent="0.3">
      <c r="I1346" s="71"/>
      <c r="J1346" s="71"/>
      <c r="K1346" s="71"/>
      <c r="L1346" s="71"/>
    </row>
    <row r="1347" spans="9:12" x14ac:dyDescent="0.3">
      <c r="I1347" s="71"/>
      <c r="J1347" s="71"/>
      <c r="K1347" s="71"/>
      <c r="L1347" s="71"/>
    </row>
    <row r="1348" spans="9:12" x14ac:dyDescent="0.3">
      <c r="I1348" s="71"/>
      <c r="J1348" s="71"/>
      <c r="K1348" s="71"/>
      <c r="L1348" s="71"/>
    </row>
    <row r="1349" spans="9:12" x14ac:dyDescent="0.3">
      <c r="I1349" s="71"/>
      <c r="J1349" s="71"/>
      <c r="K1349" s="71"/>
      <c r="L1349" s="71"/>
    </row>
    <row r="1350" spans="9:12" x14ac:dyDescent="0.3">
      <c r="I1350" s="71"/>
      <c r="J1350" s="71"/>
      <c r="K1350" s="71"/>
      <c r="L1350" s="71"/>
    </row>
    <row r="1351" spans="9:12" x14ac:dyDescent="0.3">
      <c r="I1351" s="71"/>
      <c r="J1351" s="71"/>
      <c r="K1351" s="71"/>
      <c r="L1351" s="71"/>
    </row>
    <row r="1352" spans="9:12" x14ac:dyDescent="0.3">
      <c r="I1352" s="71"/>
      <c r="J1352" s="71"/>
      <c r="K1352" s="71"/>
      <c r="L1352" s="71"/>
    </row>
    <row r="1353" spans="9:12" x14ac:dyDescent="0.3">
      <c r="I1353" s="71"/>
      <c r="J1353" s="71"/>
      <c r="K1353" s="71"/>
      <c r="L1353" s="71"/>
    </row>
    <row r="1354" spans="9:12" x14ac:dyDescent="0.3">
      <c r="I1354" s="71"/>
      <c r="J1354" s="71"/>
      <c r="K1354" s="71"/>
      <c r="L1354" s="71"/>
    </row>
    <row r="1355" spans="9:12" x14ac:dyDescent="0.3">
      <c r="I1355" s="71"/>
      <c r="J1355" s="71"/>
      <c r="K1355" s="71"/>
      <c r="L1355" s="71"/>
    </row>
    <row r="1356" spans="9:12" x14ac:dyDescent="0.3">
      <c r="I1356" s="71"/>
      <c r="J1356" s="71"/>
      <c r="K1356" s="71"/>
      <c r="L1356" s="71"/>
    </row>
    <row r="1357" spans="9:12" x14ac:dyDescent="0.3">
      <c r="I1357" s="71"/>
      <c r="J1357" s="71"/>
      <c r="K1357" s="71"/>
      <c r="L1357" s="71"/>
    </row>
    <row r="1358" spans="9:12" x14ac:dyDescent="0.3">
      <c r="I1358" s="71"/>
      <c r="J1358" s="71"/>
      <c r="K1358" s="71"/>
      <c r="L1358" s="71"/>
    </row>
    <row r="1359" spans="9:12" x14ac:dyDescent="0.3">
      <c r="I1359" s="71"/>
      <c r="J1359" s="71"/>
      <c r="K1359" s="71"/>
      <c r="L1359" s="71"/>
    </row>
    <row r="1360" spans="9:12" x14ac:dyDescent="0.3">
      <c r="I1360" s="71"/>
      <c r="J1360" s="71"/>
      <c r="K1360" s="71"/>
      <c r="L1360" s="71"/>
    </row>
    <row r="1361" spans="9:12" x14ac:dyDescent="0.3">
      <c r="I1361" s="71"/>
      <c r="J1361" s="71"/>
      <c r="K1361" s="71"/>
      <c r="L1361" s="71"/>
    </row>
    <row r="1362" spans="9:12" x14ac:dyDescent="0.3">
      <c r="I1362" s="71"/>
      <c r="J1362" s="71"/>
      <c r="K1362" s="71"/>
      <c r="L1362" s="71"/>
    </row>
    <row r="1363" spans="9:12" x14ac:dyDescent="0.3">
      <c r="I1363" s="71"/>
      <c r="J1363" s="71"/>
      <c r="K1363" s="71"/>
      <c r="L1363" s="71"/>
    </row>
    <row r="1364" spans="9:12" x14ac:dyDescent="0.3">
      <c r="I1364" s="71"/>
      <c r="J1364" s="71"/>
      <c r="K1364" s="71"/>
      <c r="L1364" s="71"/>
    </row>
    <row r="1365" spans="9:12" x14ac:dyDescent="0.3">
      <c r="I1365" s="71"/>
      <c r="J1365" s="71"/>
      <c r="K1365" s="71"/>
      <c r="L1365" s="71"/>
    </row>
    <row r="1366" spans="9:12" x14ac:dyDescent="0.3">
      <c r="I1366" s="71"/>
      <c r="J1366" s="71"/>
      <c r="K1366" s="71"/>
      <c r="L1366" s="71"/>
    </row>
    <row r="1367" spans="9:12" x14ac:dyDescent="0.3">
      <c r="I1367" s="71"/>
      <c r="J1367" s="71"/>
      <c r="K1367" s="71"/>
      <c r="L1367" s="71"/>
    </row>
    <row r="1368" spans="9:12" x14ac:dyDescent="0.3">
      <c r="I1368" s="71"/>
      <c r="J1368" s="71"/>
      <c r="K1368" s="71"/>
      <c r="L1368" s="71"/>
    </row>
    <row r="1369" spans="9:12" x14ac:dyDescent="0.3">
      <c r="I1369" s="71"/>
      <c r="J1369" s="71"/>
      <c r="K1369" s="71"/>
      <c r="L1369" s="71"/>
    </row>
    <row r="1370" spans="9:12" x14ac:dyDescent="0.3">
      <c r="I1370" s="71"/>
      <c r="J1370" s="71"/>
      <c r="K1370" s="71"/>
      <c r="L1370" s="71"/>
    </row>
    <row r="1371" spans="9:12" x14ac:dyDescent="0.3">
      <c r="I1371" s="71"/>
      <c r="J1371" s="71"/>
      <c r="K1371" s="71"/>
      <c r="L1371" s="71"/>
    </row>
    <row r="1372" spans="9:12" x14ac:dyDescent="0.3">
      <c r="I1372" s="71"/>
      <c r="J1372" s="71"/>
      <c r="K1372" s="71"/>
      <c r="L1372" s="71"/>
    </row>
    <row r="1373" spans="9:12" x14ac:dyDescent="0.3">
      <c r="I1373" s="71"/>
      <c r="J1373" s="71"/>
      <c r="K1373" s="71"/>
      <c r="L1373" s="71"/>
    </row>
    <row r="1374" spans="9:12" x14ac:dyDescent="0.3">
      <c r="I1374" s="71"/>
      <c r="J1374" s="71"/>
      <c r="K1374" s="71"/>
      <c r="L1374" s="71"/>
    </row>
    <row r="1375" spans="9:12" x14ac:dyDescent="0.3">
      <c r="I1375" s="71"/>
      <c r="J1375" s="71"/>
      <c r="K1375" s="71"/>
      <c r="L1375" s="71"/>
    </row>
    <row r="1376" spans="9:12" x14ac:dyDescent="0.3">
      <c r="I1376" s="71"/>
      <c r="J1376" s="71"/>
      <c r="K1376" s="71"/>
      <c r="L1376" s="71"/>
    </row>
    <row r="1377" spans="9:12" x14ac:dyDescent="0.3">
      <c r="I1377" s="71"/>
      <c r="J1377" s="71"/>
      <c r="K1377" s="71"/>
      <c r="L1377" s="71"/>
    </row>
    <row r="1378" spans="9:12" x14ac:dyDescent="0.3">
      <c r="I1378" s="71"/>
      <c r="J1378" s="71"/>
      <c r="K1378" s="71"/>
      <c r="L1378" s="71"/>
    </row>
    <row r="1379" spans="9:12" x14ac:dyDescent="0.3">
      <c r="I1379" s="71"/>
      <c r="J1379" s="71"/>
      <c r="K1379" s="71"/>
      <c r="L1379" s="71"/>
    </row>
    <row r="1380" spans="9:12" x14ac:dyDescent="0.3">
      <c r="I1380" s="71"/>
      <c r="J1380" s="71"/>
      <c r="K1380" s="71"/>
      <c r="L1380" s="71"/>
    </row>
    <row r="1381" spans="9:12" x14ac:dyDescent="0.3">
      <c r="I1381" s="71"/>
      <c r="J1381" s="71"/>
      <c r="K1381" s="71"/>
      <c r="L1381" s="71"/>
    </row>
    <row r="1382" spans="9:12" x14ac:dyDescent="0.3">
      <c r="I1382" s="71"/>
      <c r="J1382" s="71"/>
      <c r="K1382" s="71"/>
      <c r="L1382" s="71"/>
    </row>
    <row r="1383" spans="9:12" x14ac:dyDescent="0.3">
      <c r="I1383" s="71"/>
      <c r="J1383" s="71"/>
      <c r="K1383" s="71"/>
      <c r="L1383" s="71"/>
    </row>
    <row r="1384" spans="9:12" x14ac:dyDescent="0.3">
      <c r="I1384" s="71"/>
      <c r="J1384" s="71"/>
      <c r="K1384" s="71"/>
      <c r="L1384" s="71"/>
    </row>
    <row r="1385" spans="9:12" x14ac:dyDescent="0.3">
      <c r="I1385" s="71"/>
      <c r="J1385" s="71"/>
      <c r="K1385" s="71"/>
      <c r="L1385" s="71"/>
    </row>
    <row r="1386" spans="9:12" x14ac:dyDescent="0.3">
      <c r="I1386" s="71"/>
      <c r="J1386" s="71"/>
      <c r="K1386" s="71"/>
      <c r="L1386" s="71"/>
    </row>
    <row r="1387" spans="9:12" x14ac:dyDescent="0.3">
      <c r="I1387" s="71"/>
      <c r="J1387" s="71"/>
      <c r="K1387" s="71"/>
      <c r="L1387" s="71"/>
    </row>
    <row r="1388" spans="9:12" x14ac:dyDescent="0.3">
      <c r="I1388" s="71"/>
      <c r="J1388" s="71"/>
      <c r="K1388" s="71"/>
      <c r="L1388" s="71"/>
    </row>
    <row r="1389" spans="9:12" x14ac:dyDescent="0.3">
      <c r="I1389" s="71"/>
      <c r="J1389" s="71"/>
      <c r="K1389" s="71"/>
      <c r="L1389" s="71"/>
    </row>
    <row r="1390" spans="9:12" x14ac:dyDescent="0.3">
      <c r="I1390" s="71"/>
      <c r="J1390" s="71"/>
      <c r="K1390" s="71"/>
      <c r="L1390" s="71"/>
    </row>
    <row r="1391" spans="9:12" x14ac:dyDescent="0.3">
      <c r="I1391" s="71"/>
      <c r="J1391" s="71"/>
      <c r="K1391" s="71"/>
      <c r="L1391" s="71"/>
    </row>
    <row r="1392" spans="9:12" x14ac:dyDescent="0.3">
      <c r="I1392" s="71"/>
      <c r="J1392" s="71"/>
      <c r="K1392" s="71"/>
      <c r="L1392" s="71"/>
    </row>
    <row r="1393" spans="9:12" x14ac:dyDescent="0.3">
      <c r="I1393" s="71"/>
      <c r="J1393" s="71"/>
      <c r="K1393" s="71"/>
      <c r="L1393" s="71"/>
    </row>
    <row r="1394" spans="9:12" x14ac:dyDescent="0.3">
      <c r="I1394" s="71"/>
      <c r="J1394" s="71"/>
      <c r="K1394" s="71"/>
      <c r="L1394" s="71"/>
    </row>
    <row r="1395" spans="9:12" x14ac:dyDescent="0.3">
      <c r="I1395" s="71"/>
      <c r="J1395" s="71"/>
      <c r="K1395" s="71"/>
      <c r="L1395" s="71"/>
    </row>
    <row r="1396" spans="9:12" x14ac:dyDescent="0.3">
      <c r="I1396" s="71"/>
      <c r="J1396" s="71"/>
      <c r="K1396" s="71"/>
      <c r="L1396" s="71"/>
    </row>
    <row r="1397" spans="9:12" x14ac:dyDescent="0.3">
      <c r="I1397" s="71"/>
      <c r="J1397" s="71"/>
      <c r="K1397" s="71"/>
      <c r="L1397" s="71"/>
    </row>
    <row r="1398" spans="9:12" x14ac:dyDescent="0.3">
      <c r="I1398" s="71"/>
      <c r="J1398" s="71"/>
      <c r="K1398" s="71"/>
      <c r="L1398" s="71"/>
    </row>
    <row r="1399" spans="9:12" x14ac:dyDescent="0.3">
      <c r="I1399" s="71"/>
      <c r="J1399" s="71"/>
      <c r="K1399" s="71"/>
      <c r="L1399" s="71"/>
    </row>
    <row r="1400" spans="9:12" x14ac:dyDescent="0.3">
      <c r="I1400" s="71"/>
      <c r="J1400" s="71"/>
      <c r="K1400" s="71"/>
      <c r="L1400" s="71"/>
    </row>
    <row r="1401" spans="9:12" x14ac:dyDescent="0.3">
      <c r="I1401" s="71"/>
      <c r="J1401" s="71"/>
      <c r="K1401" s="71"/>
      <c r="L1401" s="71"/>
    </row>
    <row r="1402" spans="9:12" x14ac:dyDescent="0.3">
      <c r="I1402" s="71"/>
      <c r="J1402" s="71"/>
      <c r="K1402" s="71"/>
      <c r="L1402" s="71"/>
    </row>
    <row r="1403" spans="9:12" x14ac:dyDescent="0.3">
      <c r="I1403" s="71"/>
      <c r="J1403" s="71"/>
      <c r="K1403" s="71"/>
      <c r="L1403" s="71"/>
    </row>
    <row r="1404" spans="9:12" x14ac:dyDescent="0.3">
      <c r="I1404" s="71"/>
      <c r="J1404" s="71"/>
      <c r="K1404" s="71"/>
      <c r="L1404" s="71"/>
    </row>
    <row r="1405" spans="9:12" x14ac:dyDescent="0.3">
      <c r="I1405" s="71"/>
      <c r="J1405" s="71"/>
      <c r="K1405" s="71"/>
      <c r="L1405" s="71"/>
    </row>
    <row r="1406" spans="9:12" x14ac:dyDescent="0.3">
      <c r="I1406" s="71"/>
      <c r="J1406" s="71"/>
      <c r="K1406" s="71"/>
      <c r="L1406" s="71"/>
    </row>
    <row r="1407" spans="9:12" x14ac:dyDescent="0.3">
      <c r="I1407" s="71"/>
      <c r="J1407" s="71"/>
      <c r="K1407" s="71"/>
      <c r="L1407" s="71"/>
    </row>
    <row r="1408" spans="9:12" x14ac:dyDescent="0.3">
      <c r="I1408" s="71"/>
      <c r="J1408" s="71"/>
      <c r="K1408" s="71"/>
      <c r="L1408" s="71"/>
    </row>
    <row r="1409" spans="9:12" x14ac:dyDescent="0.3">
      <c r="I1409" s="71"/>
      <c r="J1409" s="71"/>
      <c r="K1409" s="71"/>
      <c r="L1409" s="71"/>
    </row>
    <row r="1410" spans="9:12" x14ac:dyDescent="0.3">
      <c r="I1410" s="71"/>
      <c r="J1410" s="71"/>
      <c r="K1410" s="71"/>
      <c r="L1410" s="71"/>
    </row>
    <row r="1411" spans="9:12" x14ac:dyDescent="0.3">
      <c r="I1411" s="71"/>
      <c r="J1411" s="71"/>
      <c r="K1411" s="71"/>
      <c r="L1411" s="71"/>
    </row>
    <row r="1412" spans="9:12" x14ac:dyDescent="0.3">
      <c r="I1412" s="71"/>
      <c r="J1412" s="71"/>
      <c r="K1412" s="71"/>
      <c r="L1412" s="71"/>
    </row>
    <row r="1413" spans="9:12" x14ac:dyDescent="0.3">
      <c r="I1413" s="71"/>
      <c r="J1413" s="71"/>
      <c r="K1413" s="71"/>
      <c r="L1413" s="71"/>
    </row>
    <row r="1414" spans="9:12" x14ac:dyDescent="0.3">
      <c r="I1414" s="71"/>
      <c r="J1414" s="71"/>
      <c r="K1414" s="71"/>
      <c r="L1414" s="71"/>
    </row>
    <row r="1415" spans="9:12" x14ac:dyDescent="0.3">
      <c r="I1415" s="71"/>
      <c r="J1415" s="71"/>
      <c r="K1415" s="71"/>
      <c r="L1415" s="71"/>
    </row>
    <row r="1416" spans="9:12" x14ac:dyDescent="0.3">
      <c r="I1416" s="71"/>
      <c r="J1416" s="71"/>
      <c r="K1416" s="71"/>
      <c r="L1416" s="71"/>
    </row>
    <row r="1417" spans="9:12" x14ac:dyDescent="0.3">
      <c r="I1417" s="71"/>
      <c r="J1417" s="71"/>
      <c r="K1417" s="71"/>
      <c r="L1417" s="71"/>
    </row>
    <row r="1418" spans="9:12" x14ac:dyDescent="0.3">
      <c r="I1418" s="71"/>
      <c r="J1418" s="71"/>
      <c r="K1418" s="71"/>
      <c r="L1418" s="71"/>
    </row>
    <row r="1419" spans="9:12" x14ac:dyDescent="0.3">
      <c r="I1419" s="71"/>
      <c r="J1419" s="71"/>
      <c r="K1419" s="71"/>
      <c r="L1419" s="71"/>
    </row>
    <row r="1420" spans="9:12" x14ac:dyDescent="0.3">
      <c r="I1420" s="71"/>
      <c r="J1420" s="71"/>
      <c r="K1420" s="71"/>
      <c r="L1420" s="71"/>
    </row>
    <row r="1421" spans="9:12" x14ac:dyDescent="0.3">
      <c r="I1421" s="71"/>
      <c r="J1421" s="71"/>
      <c r="K1421" s="71"/>
      <c r="L1421" s="71"/>
    </row>
    <row r="1422" spans="9:12" x14ac:dyDescent="0.3">
      <c r="I1422" s="71"/>
      <c r="J1422" s="71"/>
      <c r="K1422" s="71"/>
      <c r="L1422" s="71"/>
    </row>
    <row r="1423" spans="9:12" x14ac:dyDescent="0.3">
      <c r="I1423" s="71"/>
      <c r="J1423" s="71"/>
      <c r="K1423" s="71"/>
      <c r="L1423" s="71"/>
    </row>
    <row r="1424" spans="9:12" x14ac:dyDescent="0.3">
      <c r="I1424" s="71"/>
      <c r="J1424" s="71"/>
      <c r="K1424" s="71"/>
      <c r="L1424" s="71"/>
    </row>
    <row r="1425" spans="9:12" x14ac:dyDescent="0.3">
      <c r="I1425" s="71"/>
      <c r="J1425" s="71"/>
      <c r="K1425" s="71"/>
      <c r="L1425" s="71"/>
    </row>
    <row r="1426" spans="9:12" x14ac:dyDescent="0.3">
      <c r="I1426" s="71"/>
      <c r="J1426" s="71"/>
      <c r="K1426" s="71"/>
      <c r="L1426" s="71"/>
    </row>
    <row r="1427" spans="9:12" x14ac:dyDescent="0.3">
      <c r="I1427" s="71"/>
      <c r="J1427" s="71"/>
      <c r="K1427" s="71"/>
      <c r="L1427" s="71"/>
    </row>
    <row r="1428" spans="9:12" x14ac:dyDescent="0.3">
      <c r="I1428" s="71"/>
      <c r="J1428" s="71"/>
      <c r="K1428" s="71"/>
      <c r="L1428" s="71"/>
    </row>
    <row r="1429" spans="9:12" x14ac:dyDescent="0.3">
      <c r="I1429" s="71"/>
      <c r="J1429" s="71"/>
      <c r="K1429" s="71"/>
      <c r="L1429" s="71"/>
    </row>
    <row r="1430" spans="9:12" x14ac:dyDescent="0.3">
      <c r="I1430" s="71"/>
      <c r="J1430" s="71"/>
      <c r="K1430" s="71"/>
      <c r="L1430" s="71"/>
    </row>
    <row r="1431" spans="9:12" x14ac:dyDescent="0.3">
      <c r="I1431" s="71"/>
      <c r="J1431" s="71"/>
      <c r="K1431" s="71"/>
      <c r="L1431" s="71"/>
    </row>
    <row r="1432" spans="9:12" x14ac:dyDescent="0.3">
      <c r="I1432" s="71"/>
      <c r="J1432" s="71"/>
      <c r="K1432" s="71"/>
      <c r="L1432" s="71"/>
    </row>
    <row r="1433" spans="9:12" x14ac:dyDescent="0.3">
      <c r="I1433" s="71"/>
      <c r="J1433" s="71"/>
      <c r="K1433" s="71"/>
      <c r="L1433" s="71"/>
    </row>
    <row r="1434" spans="9:12" x14ac:dyDescent="0.3">
      <c r="I1434" s="71"/>
      <c r="J1434" s="71"/>
      <c r="K1434" s="71"/>
      <c r="L1434" s="71"/>
    </row>
    <row r="1435" spans="9:12" x14ac:dyDescent="0.3">
      <c r="I1435" s="71"/>
      <c r="J1435" s="71"/>
      <c r="K1435" s="71"/>
      <c r="L1435" s="71"/>
    </row>
    <row r="1436" spans="9:12" x14ac:dyDescent="0.3">
      <c r="I1436" s="71"/>
      <c r="J1436" s="71"/>
      <c r="K1436" s="71"/>
      <c r="L1436" s="71"/>
    </row>
    <row r="1437" spans="9:12" x14ac:dyDescent="0.3">
      <c r="I1437" s="71"/>
      <c r="J1437" s="71"/>
      <c r="K1437" s="71"/>
      <c r="L1437" s="71"/>
    </row>
    <row r="1438" spans="9:12" x14ac:dyDescent="0.3">
      <c r="I1438" s="71"/>
      <c r="J1438" s="71"/>
      <c r="K1438" s="71"/>
      <c r="L1438" s="71"/>
    </row>
    <row r="1439" spans="9:12" x14ac:dyDescent="0.3">
      <c r="I1439" s="71"/>
      <c r="J1439" s="71"/>
      <c r="K1439" s="71"/>
      <c r="L1439" s="71"/>
    </row>
    <row r="1440" spans="9:12" x14ac:dyDescent="0.3">
      <c r="I1440" s="71"/>
      <c r="J1440" s="71"/>
      <c r="K1440" s="71"/>
      <c r="L1440" s="71"/>
    </row>
    <row r="1441" spans="9:12" x14ac:dyDescent="0.3">
      <c r="I1441" s="71"/>
      <c r="J1441" s="71"/>
      <c r="K1441" s="71"/>
      <c r="L1441" s="71"/>
    </row>
    <row r="1442" spans="9:12" x14ac:dyDescent="0.3">
      <c r="I1442" s="71"/>
      <c r="J1442" s="71"/>
      <c r="K1442" s="71"/>
      <c r="L1442" s="71"/>
    </row>
    <row r="1443" spans="9:12" x14ac:dyDescent="0.3">
      <c r="I1443" s="71"/>
      <c r="J1443" s="71"/>
      <c r="K1443" s="71"/>
      <c r="L1443" s="71"/>
    </row>
    <row r="1444" spans="9:12" x14ac:dyDescent="0.3">
      <c r="I1444" s="71"/>
      <c r="J1444" s="71"/>
      <c r="K1444" s="71"/>
      <c r="L1444" s="71"/>
    </row>
    <row r="1445" spans="9:12" x14ac:dyDescent="0.3">
      <c r="I1445" s="71"/>
      <c r="J1445" s="71"/>
      <c r="K1445" s="71"/>
      <c r="L1445" s="71"/>
    </row>
    <row r="1446" spans="9:12" x14ac:dyDescent="0.3">
      <c r="I1446" s="71"/>
      <c r="J1446" s="71"/>
      <c r="K1446" s="71"/>
      <c r="L1446" s="71"/>
    </row>
    <row r="1447" spans="9:12" x14ac:dyDescent="0.3">
      <c r="I1447" s="71"/>
      <c r="J1447" s="71"/>
      <c r="K1447" s="71"/>
      <c r="L1447" s="71"/>
    </row>
    <row r="1448" spans="9:12" x14ac:dyDescent="0.3">
      <c r="I1448" s="71"/>
      <c r="J1448" s="71"/>
      <c r="K1448" s="71"/>
      <c r="L1448" s="71"/>
    </row>
    <row r="1449" spans="9:12" x14ac:dyDescent="0.3">
      <c r="I1449" s="71"/>
      <c r="J1449" s="71"/>
      <c r="K1449" s="71"/>
      <c r="L1449" s="71"/>
    </row>
    <row r="1450" spans="9:12" x14ac:dyDescent="0.3">
      <c r="I1450" s="71"/>
      <c r="J1450" s="71"/>
      <c r="K1450" s="71"/>
      <c r="L1450" s="71"/>
    </row>
    <row r="1451" spans="9:12" x14ac:dyDescent="0.3">
      <c r="I1451" s="71"/>
      <c r="J1451" s="71"/>
      <c r="K1451" s="71"/>
      <c r="L1451" s="71"/>
    </row>
    <row r="1452" spans="9:12" x14ac:dyDescent="0.3">
      <c r="I1452" s="71"/>
      <c r="J1452" s="71"/>
      <c r="K1452" s="71"/>
      <c r="L1452" s="71"/>
    </row>
    <row r="1453" spans="9:12" x14ac:dyDescent="0.3">
      <c r="I1453" s="71"/>
      <c r="J1453" s="71"/>
      <c r="K1453" s="71"/>
      <c r="L1453" s="71"/>
    </row>
    <row r="1454" spans="9:12" x14ac:dyDescent="0.3">
      <c r="I1454" s="71"/>
      <c r="J1454" s="71"/>
      <c r="K1454" s="71"/>
      <c r="L1454" s="71"/>
    </row>
    <row r="1455" spans="9:12" x14ac:dyDescent="0.3">
      <c r="I1455" s="71"/>
      <c r="J1455" s="71"/>
      <c r="K1455" s="71"/>
      <c r="L1455" s="71"/>
    </row>
    <row r="1456" spans="9:12" x14ac:dyDescent="0.3">
      <c r="I1456" s="71"/>
      <c r="J1456" s="71"/>
      <c r="K1456" s="71"/>
      <c r="L1456" s="71"/>
    </row>
    <row r="1457" spans="9:12" x14ac:dyDescent="0.3">
      <c r="I1457" s="71"/>
      <c r="J1457" s="71"/>
      <c r="K1457" s="71"/>
      <c r="L1457" s="71"/>
    </row>
    <row r="1458" spans="9:12" x14ac:dyDescent="0.3">
      <c r="I1458" s="71"/>
      <c r="J1458" s="71"/>
      <c r="K1458" s="71"/>
      <c r="L1458" s="71"/>
    </row>
    <row r="1459" spans="9:12" x14ac:dyDescent="0.3">
      <c r="I1459" s="71"/>
      <c r="J1459" s="71"/>
      <c r="K1459" s="71"/>
      <c r="L1459" s="71"/>
    </row>
    <row r="1460" spans="9:12" x14ac:dyDescent="0.3">
      <c r="I1460" s="71"/>
      <c r="J1460" s="71"/>
      <c r="K1460" s="71"/>
      <c r="L1460" s="71"/>
    </row>
    <row r="1461" spans="9:12" x14ac:dyDescent="0.3">
      <c r="I1461" s="71"/>
      <c r="J1461" s="71"/>
      <c r="K1461" s="71"/>
      <c r="L1461" s="71"/>
    </row>
    <row r="1462" spans="9:12" x14ac:dyDescent="0.3">
      <c r="I1462" s="71"/>
      <c r="J1462" s="71"/>
      <c r="K1462" s="71"/>
      <c r="L1462" s="71"/>
    </row>
    <row r="1463" spans="9:12" x14ac:dyDescent="0.3">
      <c r="I1463" s="71"/>
      <c r="J1463" s="71"/>
      <c r="K1463" s="71"/>
      <c r="L1463" s="71"/>
    </row>
    <row r="1464" spans="9:12" x14ac:dyDescent="0.3">
      <c r="I1464" s="71"/>
      <c r="J1464" s="71"/>
      <c r="K1464" s="71"/>
      <c r="L1464" s="71"/>
    </row>
    <row r="1465" spans="9:12" x14ac:dyDescent="0.3">
      <c r="I1465" s="71"/>
      <c r="J1465" s="71"/>
      <c r="K1465" s="71"/>
      <c r="L1465" s="71"/>
    </row>
    <row r="1466" spans="9:12" x14ac:dyDescent="0.3">
      <c r="I1466" s="71"/>
      <c r="J1466" s="71"/>
      <c r="K1466" s="71"/>
      <c r="L1466" s="71"/>
    </row>
    <row r="1467" spans="9:12" x14ac:dyDescent="0.3">
      <c r="I1467" s="71"/>
      <c r="J1467" s="71"/>
      <c r="K1467" s="71"/>
      <c r="L1467" s="71"/>
    </row>
    <row r="1468" spans="9:12" x14ac:dyDescent="0.3">
      <c r="I1468" s="71"/>
      <c r="J1468" s="71"/>
      <c r="K1468" s="71"/>
      <c r="L1468" s="71"/>
    </row>
    <row r="1469" spans="9:12" x14ac:dyDescent="0.3">
      <c r="I1469" s="71"/>
      <c r="J1469" s="71"/>
      <c r="K1469" s="71"/>
      <c r="L1469" s="71"/>
    </row>
    <row r="1470" spans="9:12" x14ac:dyDescent="0.3">
      <c r="I1470" s="71"/>
      <c r="J1470" s="71"/>
      <c r="K1470" s="71"/>
      <c r="L1470" s="71"/>
    </row>
    <row r="1471" spans="9:12" x14ac:dyDescent="0.3">
      <c r="I1471" s="71"/>
      <c r="J1471" s="71"/>
      <c r="K1471" s="71"/>
      <c r="L1471" s="71"/>
    </row>
    <row r="1472" spans="9:12" x14ac:dyDescent="0.3">
      <c r="I1472" s="71"/>
      <c r="J1472" s="71"/>
      <c r="K1472" s="71"/>
      <c r="L1472" s="71"/>
    </row>
    <row r="1473" spans="9:12" x14ac:dyDescent="0.3">
      <c r="I1473" s="71"/>
      <c r="J1473" s="71"/>
      <c r="K1473" s="71"/>
      <c r="L1473" s="71"/>
    </row>
    <row r="1474" spans="9:12" x14ac:dyDescent="0.3">
      <c r="I1474" s="71"/>
      <c r="J1474" s="71"/>
      <c r="K1474" s="71"/>
      <c r="L1474" s="71"/>
    </row>
    <row r="1475" spans="9:12" x14ac:dyDescent="0.3">
      <c r="I1475" s="71"/>
      <c r="J1475" s="71"/>
      <c r="K1475" s="71"/>
      <c r="L1475" s="71"/>
    </row>
    <row r="1476" spans="9:12" x14ac:dyDescent="0.3">
      <c r="I1476" s="71"/>
      <c r="J1476" s="71"/>
      <c r="K1476" s="71"/>
      <c r="L1476" s="71"/>
    </row>
    <row r="1477" spans="9:12" x14ac:dyDescent="0.3">
      <c r="I1477" s="71"/>
      <c r="J1477" s="71"/>
      <c r="K1477" s="71"/>
      <c r="L1477" s="71"/>
    </row>
    <row r="1478" spans="9:12" x14ac:dyDescent="0.3">
      <c r="I1478" s="71"/>
      <c r="J1478" s="71"/>
      <c r="K1478" s="71"/>
      <c r="L1478" s="71"/>
    </row>
    <row r="1479" spans="9:12" x14ac:dyDescent="0.3">
      <c r="I1479" s="71"/>
      <c r="J1479" s="71"/>
      <c r="K1479" s="71"/>
      <c r="L1479" s="71"/>
    </row>
    <row r="1480" spans="9:12" x14ac:dyDescent="0.3">
      <c r="I1480" s="71"/>
      <c r="J1480" s="71"/>
      <c r="K1480" s="71"/>
      <c r="L1480" s="71"/>
    </row>
    <row r="1481" spans="9:12" x14ac:dyDescent="0.3">
      <c r="I1481" s="71"/>
      <c r="J1481" s="71"/>
      <c r="K1481" s="71"/>
      <c r="L1481" s="71"/>
    </row>
    <row r="1482" spans="9:12" x14ac:dyDescent="0.3">
      <c r="I1482" s="71"/>
      <c r="J1482" s="71"/>
      <c r="K1482" s="71"/>
      <c r="L1482" s="71"/>
    </row>
    <row r="1483" spans="9:12" x14ac:dyDescent="0.3">
      <c r="I1483" s="71"/>
      <c r="J1483" s="71"/>
      <c r="K1483" s="71"/>
      <c r="L1483" s="71"/>
    </row>
    <row r="1484" spans="9:12" x14ac:dyDescent="0.3">
      <c r="I1484" s="71"/>
      <c r="J1484" s="71"/>
      <c r="K1484" s="71"/>
      <c r="L1484" s="71"/>
    </row>
    <row r="1485" spans="9:12" x14ac:dyDescent="0.3">
      <c r="I1485" s="71"/>
      <c r="J1485" s="71"/>
      <c r="K1485" s="71"/>
      <c r="L1485" s="71"/>
    </row>
    <row r="1486" spans="9:12" x14ac:dyDescent="0.3">
      <c r="I1486" s="71"/>
      <c r="J1486" s="71"/>
      <c r="K1486" s="71"/>
      <c r="L1486" s="71"/>
    </row>
    <row r="1487" spans="9:12" x14ac:dyDescent="0.3">
      <c r="I1487" s="71"/>
      <c r="J1487" s="71"/>
      <c r="K1487" s="71"/>
      <c r="L1487" s="71"/>
    </row>
    <row r="1488" spans="9:12" x14ac:dyDescent="0.3">
      <c r="I1488" s="71"/>
      <c r="J1488" s="71"/>
      <c r="K1488" s="71"/>
      <c r="L1488" s="71"/>
    </row>
    <row r="1489" spans="9:12" x14ac:dyDescent="0.3">
      <c r="I1489" s="71"/>
      <c r="J1489" s="71"/>
      <c r="K1489" s="71"/>
      <c r="L1489" s="71"/>
    </row>
    <row r="1490" spans="9:12" x14ac:dyDescent="0.3">
      <c r="I1490" s="71"/>
      <c r="J1490" s="71"/>
      <c r="K1490" s="71"/>
      <c r="L1490" s="71"/>
    </row>
    <row r="1491" spans="9:12" x14ac:dyDescent="0.3">
      <c r="I1491" s="71"/>
      <c r="J1491" s="71"/>
      <c r="K1491" s="71"/>
      <c r="L1491" s="71"/>
    </row>
    <row r="1492" spans="9:12" x14ac:dyDescent="0.3">
      <c r="I1492" s="71"/>
      <c r="J1492" s="71"/>
      <c r="K1492" s="71"/>
      <c r="L1492" s="71"/>
    </row>
    <row r="1493" spans="9:12" x14ac:dyDescent="0.3">
      <c r="I1493" s="71"/>
      <c r="J1493" s="71"/>
      <c r="K1493" s="71"/>
      <c r="L1493" s="71"/>
    </row>
    <row r="1494" spans="9:12" x14ac:dyDescent="0.3">
      <c r="I1494" s="71"/>
      <c r="J1494" s="71"/>
      <c r="K1494" s="71"/>
      <c r="L1494" s="71"/>
    </row>
    <row r="1495" spans="9:12" x14ac:dyDescent="0.3">
      <c r="I1495" s="71"/>
      <c r="J1495" s="71"/>
      <c r="K1495" s="71"/>
      <c r="L1495" s="71"/>
    </row>
    <row r="1496" spans="9:12" x14ac:dyDescent="0.3">
      <c r="I1496" s="71"/>
      <c r="J1496" s="71"/>
      <c r="K1496" s="71"/>
      <c r="L1496" s="71"/>
    </row>
    <row r="1497" spans="9:12" x14ac:dyDescent="0.3">
      <c r="I1497" s="71"/>
      <c r="J1497" s="71"/>
      <c r="K1497" s="71"/>
      <c r="L1497" s="71"/>
    </row>
    <row r="1498" spans="9:12" x14ac:dyDescent="0.3">
      <c r="I1498" s="71"/>
      <c r="J1498" s="71"/>
      <c r="K1498" s="71"/>
      <c r="L1498" s="71"/>
    </row>
    <row r="1499" spans="9:12" x14ac:dyDescent="0.3">
      <c r="I1499" s="71"/>
      <c r="J1499" s="71"/>
      <c r="K1499" s="71"/>
      <c r="L1499" s="71"/>
    </row>
    <row r="1500" spans="9:12" x14ac:dyDescent="0.3">
      <c r="I1500" s="71"/>
      <c r="J1500" s="71"/>
      <c r="K1500" s="71"/>
      <c r="L1500" s="71"/>
    </row>
    <row r="1501" spans="9:12" x14ac:dyDescent="0.3">
      <c r="I1501" s="71"/>
      <c r="J1501" s="71"/>
      <c r="K1501" s="71"/>
      <c r="L1501" s="71"/>
    </row>
    <row r="1502" spans="9:12" x14ac:dyDescent="0.3">
      <c r="I1502" s="71"/>
      <c r="J1502" s="71"/>
      <c r="K1502" s="71"/>
      <c r="L1502" s="71"/>
    </row>
    <row r="1503" spans="9:12" x14ac:dyDescent="0.3">
      <c r="I1503" s="71"/>
      <c r="J1503" s="71"/>
      <c r="K1503" s="71"/>
      <c r="L1503" s="71"/>
    </row>
    <row r="1504" spans="9:12" x14ac:dyDescent="0.3">
      <c r="I1504" s="71"/>
      <c r="J1504" s="71"/>
      <c r="K1504" s="71"/>
      <c r="L1504" s="71"/>
    </row>
    <row r="1505" spans="9:12" x14ac:dyDescent="0.3">
      <c r="I1505" s="71"/>
      <c r="J1505" s="71"/>
      <c r="K1505" s="71"/>
      <c r="L1505" s="71"/>
    </row>
    <row r="1506" spans="9:12" x14ac:dyDescent="0.3">
      <c r="I1506" s="71"/>
      <c r="J1506" s="71"/>
      <c r="K1506" s="71"/>
      <c r="L1506" s="71"/>
    </row>
    <row r="1507" spans="9:12" x14ac:dyDescent="0.3">
      <c r="I1507" s="71"/>
      <c r="J1507" s="71"/>
      <c r="K1507" s="71"/>
      <c r="L1507" s="71"/>
    </row>
    <row r="1508" spans="9:12" x14ac:dyDescent="0.3">
      <c r="I1508" s="71"/>
      <c r="J1508" s="71"/>
      <c r="K1508" s="71"/>
      <c r="L1508" s="71"/>
    </row>
    <row r="1509" spans="9:12" x14ac:dyDescent="0.3">
      <c r="I1509" s="71"/>
      <c r="J1509" s="71"/>
      <c r="K1509" s="71"/>
      <c r="L1509" s="71"/>
    </row>
    <row r="1510" spans="9:12" x14ac:dyDescent="0.3">
      <c r="I1510" s="71"/>
      <c r="J1510" s="71"/>
      <c r="K1510" s="71"/>
      <c r="L1510" s="71"/>
    </row>
    <row r="1511" spans="9:12" x14ac:dyDescent="0.3">
      <c r="I1511" s="71"/>
      <c r="J1511" s="71"/>
      <c r="K1511" s="71"/>
      <c r="L1511" s="71"/>
    </row>
    <row r="1512" spans="9:12" x14ac:dyDescent="0.3">
      <c r="I1512" s="71"/>
      <c r="J1512" s="71"/>
      <c r="K1512" s="71"/>
      <c r="L1512" s="71"/>
    </row>
    <row r="1513" spans="9:12" x14ac:dyDescent="0.3">
      <c r="I1513" s="71"/>
      <c r="J1513" s="71"/>
      <c r="K1513" s="71"/>
      <c r="L1513" s="71"/>
    </row>
    <row r="1514" spans="9:12" x14ac:dyDescent="0.3">
      <c r="I1514" s="71"/>
      <c r="J1514" s="71"/>
      <c r="K1514" s="71"/>
      <c r="L1514" s="71"/>
    </row>
    <row r="1515" spans="9:12" x14ac:dyDescent="0.3">
      <c r="I1515" s="71"/>
      <c r="J1515" s="71"/>
      <c r="K1515" s="71"/>
      <c r="L1515" s="71"/>
    </row>
    <row r="1516" spans="9:12" x14ac:dyDescent="0.3">
      <c r="I1516" s="71"/>
      <c r="J1516" s="71"/>
      <c r="K1516" s="71"/>
      <c r="L1516" s="71"/>
    </row>
    <row r="1517" spans="9:12" x14ac:dyDescent="0.3">
      <c r="I1517" s="71"/>
      <c r="J1517" s="71"/>
      <c r="K1517" s="71"/>
      <c r="L1517" s="71"/>
    </row>
    <row r="1518" spans="9:12" x14ac:dyDescent="0.3">
      <c r="I1518" s="71"/>
      <c r="J1518" s="71"/>
      <c r="K1518" s="71"/>
      <c r="L1518" s="71"/>
    </row>
    <row r="1519" spans="9:12" x14ac:dyDescent="0.3">
      <c r="I1519" s="71"/>
      <c r="J1519" s="71"/>
      <c r="K1519" s="71"/>
      <c r="L1519" s="71"/>
    </row>
    <row r="1520" spans="9:12" x14ac:dyDescent="0.3">
      <c r="I1520" s="71"/>
      <c r="J1520" s="71"/>
      <c r="K1520" s="71"/>
      <c r="L1520" s="71"/>
    </row>
    <row r="1521" spans="9:12" x14ac:dyDescent="0.3">
      <c r="I1521" s="71"/>
      <c r="J1521" s="71"/>
      <c r="K1521" s="71"/>
      <c r="L1521" s="71"/>
    </row>
    <row r="1522" spans="9:12" x14ac:dyDescent="0.3">
      <c r="I1522" s="71"/>
      <c r="J1522" s="71"/>
      <c r="K1522" s="71"/>
      <c r="L1522" s="71"/>
    </row>
    <row r="1523" spans="9:12" x14ac:dyDescent="0.3">
      <c r="I1523" s="71"/>
      <c r="J1523" s="71"/>
      <c r="K1523" s="71"/>
      <c r="L1523" s="71"/>
    </row>
    <row r="1524" spans="9:12" x14ac:dyDescent="0.3">
      <c r="I1524" s="71"/>
      <c r="J1524" s="71"/>
      <c r="K1524" s="71"/>
      <c r="L1524" s="71"/>
    </row>
    <row r="1525" spans="9:12" x14ac:dyDescent="0.3">
      <c r="I1525" s="71"/>
      <c r="J1525" s="71"/>
      <c r="K1525" s="71"/>
      <c r="L1525" s="71"/>
    </row>
    <row r="1526" spans="9:12" x14ac:dyDescent="0.3">
      <c r="I1526" s="71"/>
      <c r="J1526" s="71"/>
      <c r="K1526" s="71"/>
      <c r="L1526" s="71"/>
    </row>
    <row r="1527" spans="9:12" x14ac:dyDescent="0.3">
      <c r="I1527" s="71"/>
      <c r="J1527" s="71"/>
      <c r="K1527" s="71"/>
      <c r="L1527" s="71"/>
    </row>
    <row r="1528" spans="9:12" x14ac:dyDescent="0.3">
      <c r="I1528" s="71"/>
      <c r="J1528" s="71"/>
      <c r="K1528" s="71"/>
      <c r="L1528" s="71"/>
    </row>
    <row r="1529" spans="9:12" x14ac:dyDescent="0.3">
      <c r="I1529" s="71"/>
      <c r="J1529" s="71"/>
      <c r="K1529" s="71"/>
      <c r="L1529" s="71"/>
    </row>
    <row r="1530" spans="9:12" x14ac:dyDescent="0.3">
      <c r="I1530" s="71"/>
      <c r="J1530" s="71"/>
      <c r="K1530" s="71"/>
      <c r="L1530" s="71"/>
    </row>
    <row r="1531" spans="9:12" x14ac:dyDescent="0.3">
      <c r="I1531" s="71"/>
      <c r="J1531" s="71"/>
      <c r="K1531" s="71"/>
      <c r="L1531" s="71"/>
    </row>
    <row r="1532" spans="9:12" x14ac:dyDescent="0.3">
      <c r="I1532" s="71"/>
      <c r="J1532" s="71"/>
      <c r="K1532" s="71"/>
      <c r="L1532" s="71"/>
    </row>
    <row r="1533" spans="9:12" x14ac:dyDescent="0.3">
      <c r="I1533" s="71"/>
      <c r="J1533" s="71"/>
      <c r="K1533" s="71"/>
      <c r="L1533" s="71"/>
    </row>
    <row r="1534" spans="9:12" x14ac:dyDescent="0.3">
      <c r="I1534" s="71"/>
      <c r="J1534" s="71"/>
      <c r="K1534" s="71"/>
      <c r="L1534" s="71"/>
    </row>
    <row r="1535" spans="9:12" x14ac:dyDescent="0.3">
      <c r="I1535" s="71"/>
      <c r="J1535" s="71"/>
      <c r="K1535" s="71"/>
      <c r="L1535" s="71"/>
    </row>
    <row r="1536" spans="9:12" x14ac:dyDescent="0.3">
      <c r="I1536" s="71"/>
      <c r="J1536" s="71"/>
      <c r="K1536" s="71"/>
      <c r="L1536" s="71"/>
    </row>
    <row r="1537" spans="9:12" x14ac:dyDescent="0.3">
      <c r="I1537" s="71"/>
      <c r="J1537" s="71"/>
      <c r="K1537" s="71"/>
      <c r="L1537" s="71"/>
    </row>
    <row r="1538" spans="9:12" x14ac:dyDescent="0.3">
      <c r="I1538" s="71"/>
      <c r="J1538" s="71"/>
      <c r="K1538" s="71"/>
      <c r="L1538" s="71"/>
    </row>
    <row r="1539" spans="9:12" x14ac:dyDescent="0.3">
      <c r="I1539" s="71"/>
      <c r="J1539" s="71"/>
      <c r="K1539" s="71"/>
      <c r="L1539" s="71"/>
    </row>
    <row r="1540" spans="9:12" x14ac:dyDescent="0.3">
      <c r="I1540" s="71"/>
      <c r="J1540" s="71"/>
      <c r="K1540" s="71"/>
      <c r="L1540" s="71"/>
    </row>
    <row r="1541" spans="9:12" x14ac:dyDescent="0.3">
      <c r="I1541" s="71"/>
      <c r="J1541" s="71"/>
      <c r="K1541" s="71"/>
      <c r="L1541" s="71"/>
    </row>
    <row r="1542" spans="9:12" x14ac:dyDescent="0.3">
      <c r="I1542" s="71"/>
      <c r="J1542" s="71"/>
      <c r="K1542" s="71"/>
      <c r="L1542" s="71"/>
    </row>
    <row r="1543" spans="9:12" x14ac:dyDescent="0.3">
      <c r="I1543" s="71"/>
      <c r="J1543" s="71"/>
      <c r="K1543" s="71"/>
      <c r="L1543" s="71"/>
    </row>
    <row r="1544" spans="9:12" x14ac:dyDescent="0.3">
      <c r="I1544" s="71"/>
      <c r="J1544" s="71"/>
      <c r="K1544" s="71"/>
      <c r="L1544" s="71"/>
    </row>
    <row r="1545" spans="9:12" x14ac:dyDescent="0.3">
      <c r="I1545" s="71"/>
      <c r="J1545" s="71"/>
      <c r="K1545" s="71"/>
      <c r="L1545" s="71"/>
    </row>
    <row r="1546" spans="9:12" x14ac:dyDescent="0.3">
      <c r="I1546" s="71"/>
      <c r="J1546" s="71"/>
      <c r="K1546" s="71"/>
      <c r="L1546" s="71"/>
    </row>
    <row r="1547" spans="9:12" x14ac:dyDescent="0.3">
      <c r="I1547" s="71"/>
      <c r="J1547" s="71"/>
      <c r="K1547" s="71"/>
      <c r="L1547" s="71"/>
    </row>
    <row r="1548" spans="9:12" x14ac:dyDescent="0.3">
      <c r="I1548" s="71"/>
      <c r="J1548" s="71"/>
      <c r="K1548" s="71"/>
      <c r="L1548" s="71"/>
    </row>
    <row r="1549" spans="9:12" x14ac:dyDescent="0.3">
      <c r="I1549" s="71"/>
      <c r="J1549" s="71"/>
      <c r="K1549" s="71"/>
      <c r="L1549" s="71"/>
    </row>
    <row r="1550" spans="9:12" x14ac:dyDescent="0.3">
      <c r="I1550" s="71"/>
      <c r="J1550" s="71"/>
      <c r="K1550" s="71"/>
      <c r="L1550" s="71"/>
    </row>
    <row r="1551" spans="9:12" x14ac:dyDescent="0.3">
      <c r="I1551" s="71"/>
      <c r="J1551" s="71"/>
      <c r="K1551" s="71"/>
      <c r="L1551" s="71"/>
    </row>
    <row r="1552" spans="9:12" x14ac:dyDescent="0.3">
      <c r="I1552" s="71"/>
      <c r="J1552" s="71"/>
      <c r="K1552" s="71"/>
      <c r="L1552" s="71"/>
    </row>
    <row r="1553" spans="9:12" x14ac:dyDescent="0.3">
      <c r="I1553" s="71"/>
      <c r="J1553" s="71"/>
      <c r="K1553" s="71"/>
      <c r="L1553" s="71"/>
    </row>
    <row r="1554" spans="9:12" x14ac:dyDescent="0.3">
      <c r="I1554" s="71"/>
      <c r="J1554" s="71"/>
      <c r="K1554" s="71"/>
      <c r="L1554" s="71"/>
    </row>
    <row r="1555" spans="9:12" x14ac:dyDescent="0.3">
      <c r="I1555" s="71"/>
      <c r="J1555" s="71"/>
      <c r="K1555" s="71"/>
      <c r="L1555" s="71"/>
    </row>
    <row r="1556" spans="9:12" x14ac:dyDescent="0.3">
      <c r="I1556" s="71"/>
      <c r="J1556" s="71"/>
      <c r="K1556" s="71"/>
      <c r="L1556" s="71"/>
    </row>
    <row r="1557" spans="9:12" x14ac:dyDescent="0.3">
      <c r="I1557" s="71"/>
      <c r="J1557" s="71"/>
      <c r="K1557" s="71"/>
      <c r="L1557" s="71"/>
    </row>
    <row r="1558" spans="9:12" x14ac:dyDescent="0.3">
      <c r="I1558" s="71"/>
      <c r="J1558" s="71"/>
      <c r="K1558" s="71"/>
      <c r="L1558" s="71"/>
    </row>
    <row r="1559" spans="9:12" x14ac:dyDescent="0.3">
      <c r="I1559" s="71"/>
      <c r="J1559" s="71"/>
      <c r="K1559" s="71"/>
      <c r="L1559" s="71"/>
    </row>
    <row r="1560" spans="9:12" x14ac:dyDescent="0.3">
      <c r="I1560" s="71"/>
      <c r="J1560" s="71"/>
      <c r="K1560" s="71"/>
      <c r="L1560" s="71"/>
    </row>
    <row r="1561" spans="9:12" x14ac:dyDescent="0.3">
      <c r="I1561" s="71"/>
      <c r="J1561" s="71"/>
      <c r="K1561" s="71"/>
      <c r="L1561" s="71"/>
    </row>
    <row r="1562" spans="9:12" x14ac:dyDescent="0.3">
      <c r="I1562" s="71"/>
      <c r="J1562" s="71"/>
      <c r="K1562" s="71"/>
      <c r="L1562" s="71"/>
    </row>
    <row r="1563" spans="9:12" x14ac:dyDescent="0.3">
      <c r="I1563" s="71"/>
      <c r="J1563" s="71"/>
      <c r="K1563" s="71"/>
      <c r="L1563" s="71"/>
    </row>
    <row r="1564" spans="9:12" x14ac:dyDescent="0.3">
      <c r="I1564" s="71"/>
      <c r="J1564" s="71"/>
      <c r="K1564" s="71"/>
      <c r="L1564" s="71"/>
    </row>
    <row r="1565" spans="9:12" x14ac:dyDescent="0.3">
      <c r="I1565" s="71"/>
      <c r="J1565" s="71"/>
      <c r="K1565" s="71"/>
      <c r="L1565" s="71"/>
    </row>
    <row r="1566" spans="9:12" x14ac:dyDescent="0.3">
      <c r="I1566" s="71"/>
      <c r="J1566" s="71"/>
      <c r="K1566" s="71"/>
      <c r="L1566" s="71"/>
    </row>
    <row r="1567" spans="9:12" x14ac:dyDescent="0.3">
      <c r="I1567" s="71"/>
      <c r="J1567" s="71"/>
      <c r="K1567" s="71"/>
      <c r="L1567" s="71"/>
    </row>
    <row r="1568" spans="9:12" x14ac:dyDescent="0.3">
      <c r="I1568" s="71"/>
      <c r="J1568" s="71"/>
      <c r="K1568" s="71"/>
      <c r="L1568" s="71"/>
    </row>
    <row r="1569" spans="9:12" x14ac:dyDescent="0.3">
      <c r="I1569" s="71"/>
      <c r="J1569" s="71"/>
      <c r="K1569" s="71"/>
      <c r="L1569" s="71"/>
    </row>
    <row r="1570" spans="9:12" x14ac:dyDescent="0.3">
      <c r="I1570" s="71"/>
      <c r="J1570" s="71"/>
      <c r="K1570" s="71"/>
      <c r="L1570" s="71"/>
    </row>
    <row r="1571" spans="9:12" x14ac:dyDescent="0.3">
      <c r="I1571" s="71"/>
      <c r="J1571" s="71"/>
      <c r="K1571" s="71"/>
      <c r="L1571" s="71"/>
    </row>
    <row r="1572" spans="9:12" x14ac:dyDescent="0.3">
      <c r="I1572" s="71"/>
      <c r="J1572" s="71"/>
      <c r="K1572" s="71"/>
      <c r="L1572" s="71"/>
    </row>
    <row r="1573" spans="9:12" x14ac:dyDescent="0.3">
      <c r="I1573" s="71"/>
      <c r="J1573" s="71"/>
      <c r="K1573" s="71"/>
      <c r="L1573" s="71"/>
    </row>
    <row r="1574" spans="9:12" x14ac:dyDescent="0.3">
      <c r="I1574" s="71"/>
      <c r="J1574" s="71"/>
      <c r="K1574" s="71"/>
      <c r="L1574" s="71"/>
    </row>
    <row r="1575" spans="9:12" x14ac:dyDescent="0.3">
      <c r="I1575" s="71"/>
      <c r="J1575" s="71"/>
      <c r="K1575" s="71"/>
      <c r="L1575" s="71"/>
    </row>
    <row r="1576" spans="9:12" x14ac:dyDescent="0.3">
      <c r="I1576" s="71"/>
      <c r="J1576" s="71"/>
      <c r="K1576" s="71"/>
      <c r="L1576" s="71"/>
    </row>
    <row r="1577" spans="9:12" x14ac:dyDescent="0.3">
      <c r="I1577" s="71"/>
      <c r="J1577" s="71"/>
      <c r="K1577" s="71"/>
      <c r="L1577" s="71"/>
    </row>
    <row r="1578" spans="9:12" x14ac:dyDescent="0.3">
      <c r="I1578" s="71"/>
      <c r="J1578" s="71"/>
      <c r="K1578" s="71"/>
      <c r="L1578" s="71"/>
    </row>
    <row r="1579" spans="9:12" x14ac:dyDescent="0.3">
      <c r="I1579" s="71"/>
      <c r="J1579" s="71"/>
      <c r="K1579" s="71"/>
      <c r="L1579" s="71"/>
    </row>
    <row r="1580" spans="9:12" x14ac:dyDescent="0.3">
      <c r="I1580" s="71"/>
      <c r="J1580" s="71"/>
      <c r="K1580" s="71"/>
      <c r="L1580" s="71"/>
    </row>
    <row r="1581" spans="9:12" x14ac:dyDescent="0.3">
      <c r="I1581" s="71"/>
      <c r="J1581" s="71"/>
      <c r="K1581" s="71"/>
      <c r="L1581" s="71"/>
    </row>
    <row r="1582" spans="9:12" x14ac:dyDescent="0.3">
      <c r="I1582" s="71"/>
      <c r="J1582" s="71"/>
      <c r="K1582" s="71"/>
      <c r="L1582" s="71"/>
    </row>
    <row r="1583" spans="9:12" x14ac:dyDescent="0.3">
      <c r="I1583" s="71"/>
      <c r="J1583" s="71"/>
      <c r="K1583" s="71"/>
      <c r="L1583" s="71"/>
    </row>
    <row r="1584" spans="9:12" x14ac:dyDescent="0.3">
      <c r="I1584" s="71"/>
      <c r="J1584" s="71"/>
      <c r="K1584" s="71"/>
      <c r="L1584" s="71"/>
    </row>
    <row r="1585" spans="9:12" x14ac:dyDescent="0.3">
      <c r="I1585" s="71"/>
      <c r="J1585" s="71"/>
      <c r="K1585" s="71"/>
      <c r="L1585" s="71"/>
    </row>
    <row r="1586" spans="9:12" x14ac:dyDescent="0.3">
      <c r="I1586" s="71"/>
      <c r="J1586" s="71"/>
      <c r="K1586" s="71"/>
      <c r="L1586" s="71"/>
    </row>
    <row r="1587" spans="9:12" x14ac:dyDescent="0.3">
      <c r="I1587" s="71"/>
      <c r="J1587" s="71"/>
      <c r="K1587" s="71"/>
      <c r="L1587" s="71"/>
    </row>
    <row r="1588" spans="9:12" x14ac:dyDescent="0.3">
      <c r="I1588" s="71"/>
      <c r="J1588" s="71"/>
      <c r="K1588" s="71"/>
      <c r="L1588" s="71"/>
    </row>
    <row r="1589" spans="9:12" x14ac:dyDescent="0.3">
      <c r="I1589" s="71"/>
      <c r="J1589" s="71"/>
      <c r="K1589" s="71"/>
      <c r="L1589" s="71"/>
    </row>
    <row r="1590" spans="9:12" x14ac:dyDescent="0.3">
      <c r="I1590" s="71"/>
      <c r="J1590" s="71"/>
      <c r="K1590" s="71"/>
      <c r="L1590" s="71"/>
    </row>
    <row r="1591" spans="9:12" x14ac:dyDescent="0.3">
      <c r="I1591" s="71"/>
      <c r="J1591" s="71"/>
      <c r="K1591" s="71"/>
      <c r="L1591" s="71"/>
    </row>
    <row r="1592" spans="9:12" x14ac:dyDescent="0.3">
      <c r="I1592" s="71"/>
      <c r="J1592" s="71"/>
      <c r="K1592" s="71"/>
      <c r="L1592" s="71"/>
    </row>
    <row r="1593" spans="9:12" x14ac:dyDescent="0.3">
      <c r="I1593" s="71"/>
      <c r="J1593" s="71"/>
      <c r="K1593" s="71"/>
      <c r="L1593" s="71"/>
    </row>
    <row r="1594" spans="9:12" x14ac:dyDescent="0.3">
      <c r="I1594" s="71"/>
      <c r="J1594" s="71"/>
      <c r="K1594" s="71"/>
      <c r="L1594" s="71"/>
    </row>
    <row r="1595" spans="9:12" x14ac:dyDescent="0.3">
      <c r="I1595" s="71"/>
      <c r="J1595" s="71"/>
      <c r="K1595" s="71"/>
      <c r="L1595" s="71"/>
    </row>
    <row r="1596" spans="9:12" x14ac:dyDescent="0.3">
      <c r="I1596" s="71"/>
      <c r="J1596" s="71"/>
      <c r="K1596" s="71"/>
      <c r="L1596" s="71"/>
    </row>
    <row r="1597" spans="9:12" x14ac:dyDescent="0.3">
      <c r="I1597" s="71"/>
      <c r="J1597" s="71"/>
      <c r="K1597" s="71"/>
      <c r="L1597" s="71"/>
    </row>
    <row r="1598" spans="9:12" x14ac:dyDescent="0.3">
      <c r="I1598" s="71"/>
      <c r="J1598" s="71"/>
      <c r="K1598" s="71"/>
      <c r="L1598" s="71"/>
    </row>
    <row r="1599" spans="9:12" x14ac:dyDescent="0.3">
      <c r="I1599" s="71"/>
      <c r="J1599" s="71"/>
      <c r="K1599" s="71"/>
      <c r="L1599" s="71"/>
    </row>
    <row r="1600" spans="9:12" x14ac:dyDescent="0.3">
      <c r="I1600" s="71"/>
      <c r="J1600" s="71"/>
      <c r="K1600" s="71"/>
      <c r="L1600" s="71"/>
    </row>
    <row r="1601" spans="9:12" x14ac:dyDescent="0.3">
      <c r="I1601" s="71"/>
      <c r="J1601" s="71"/>
      <c r="K1601" s="71"/>
      <c r="L1601" s="71"/>
    </row>
    <row r="1602" spans="9:12" x14ac:dyDescent="0.3">
      <c r="I1602" s="71"/>
      <c r="J1602" s="71"/>
      <c r="K1602" s="71"/>
      <c r="L1602" s="71"/>
    </row>
    <row r="1603" spans="9:12" x14ac:dyDescent="0.3">
      <c r="I1603" s="71"/>
      <c r="J1603" s="71"/>
      <c r="K1603" s="71"/>
      <c r="L1603" s="71"/>
    </row>
    <row r="1604" spans="9:12" x14ac:dyDescent="0.3">
      <c r="I1604" s="71"/>
      <c r="J1604" s="71"/>
      <c r="K1604" s="71"/>
      <c r="L1604" s="71"/>
    </row>
    <row r="1605" spans="9:12" x14ac:dyDescent="0.3">
      <c r="I1605" s="71"/>
      <c r="J1605" s="71"/>
      <c r="K1605" s="71"/>
      <c r="L1605" s="71"/>
    </row>
    <row r="1606" spans="9:12" x14ac:dyDescent="0.3">
      <c r="I1606" s="71"/>
      <c r="J1606" s="71"/>
      <c r="K1606" s="71"/>
      <c r="L1606" s="71"/>
    </row>
    <row r="1607" spans="9:12" x14ac:dyDescent="0.3">
      <c r="I1607" s="71"/>
      <c r="J1607" s="71"/>
      <c r="K1607" s="71"/>
      <c r="L1607" s="71"/>
    </row>
    <row r="1608" spans="9:12" x14ac:dyDescent="0.3">
      <c r="I1608" s="71"/>
      <c r="J1608" s="71"/>
      <c r="K1608" s="71"/>
      <c r="L1608" s="71"/>
    </row>
    <row r="1609" spans="9:12" x14ac:dyDescent="0.3">
      <c r="I1609" s="71"/>
      <c r="J1609" s="71"/>
      <c r="K1609" s="71"/>
      <c r="L1609" s="71"/>
    </row>
    <row r="1610" spans="9:12" x14ac:dyDescent="0.3">
      <c r="I1610" s="71"/>
      <c r="J1610" s="71"/>
      <c r="K1610" s="71"/>
      <c r="L1610" s="71"/>
    </row>
    <row r="1611" spans="9:12" x14ac:dyDescent="0.3">
      <c r="I1611" s="71"/>
      <c r="J1611" s="71"/>
      <c r="K1611" s="71"/>
      <c r="L1611" s="71"/>
    </row>
    <row r="1612" spans="9:12" x14ac:dyDescent="0.3">
      <c r="I1612" s="71"/>
      <c r="J1612" s="71"/>
      <c r="K1612" s="71"/>
      <c r="L1612" s="71"/>
    </row>
    <row r="1613" spans="9:12" x14ac:dyDescent="0.3">
      <c r="I1613" s="71"/>
      <c r="J1613" s="71"/>
      <c r="K1613" s="71"/>
      <c r="L1613" s="71"/>
    </row>
    <row r="1614" spans="9:12" x14ac:dyDescent="0.3">
      <c r="I1614" s="71"/>
      <c r="J1614" s="71"/>
      <c r="K1614" s="71"/>
      <c r="L1614" s="71"/>
    </row>
    <row r="1615" spans="9:12" x14ac:dyDescent="0.3">
      <c r="I1615" s="71"/>
      <c r="J1615" s="71"/>
      <c r="K1615" s="71"/>
      <c r="L1615" s="71"/>
    </row>
    <row r="1616" spans="9:12" x14ac:dyDescent="0.3">
      <c r="I1616" s="71"/>
      <c r="J1616" s="71"/>
      <c r="K1616" s="71"/>
      <c r="L1616" s="71"/>
    </row>
    <row r="1617" spans="9:12" x14ac:dyDescent="0.3">
      <c r="I1617" s="71"/>
      <c r="J1617" s="71"/>
      <c r="K1617" s="71"/>
      <c r="L1617" s="71"/>
    </row>
    <row r="1618" spans="9:12" x14ac:dyDescent="0.3">
      <c r="I1618" s="71"/>
      <c r="J1618" s="71"/>
      <c r="K1618" s="71"/>
      <c r="L1618" s="71"/>
    </row>
    <row r="1619" spans="9:12" x14ac:dyDescent="0.3">
      <c r="I1619" s="71"/>
      <c r="J1619" s="71"/>
      <c r="K1619" s="71"/>
      <c r="L1619" s="71"/>
    </row>
    <row r="1620" spans="9:12" x14ac:dyDescent="0.3">
      <c r="I1620" s="71"/>
      <c r="J1620" s="71"/>
      <c r="K1620" s="71"/>
      <c r="L1620" s="71"/>
    </row>
    <row r="1621" spans="9:12" x14ac:dyDescent="0.3">
      <c r="I1621" s="71"/>
      <c r="J1621" s="71"/>
      <c r="K1621" s="71"/>
      <c r="L1621" s="71"/>
    </row>
    <row r="1622" spans="9:12" x14ac:dyDescent="0.3">
      <c r="I1622" s="71"/>
      <c r="J1622" s="71"/>
      <c r="K1622" s="71"/>
      <c r="L1622" s="71"/>
    </row>
    <row r="1623" spans="9:12" x14ac:dyDescent="0.3">
      <c r="I1623" s="71"/>
      <c r="J1623" s="71"/>
      <c r="K1623" s="71"/>
      <c r="L1623" s="71"/>
    </row>
    <row r="1624" spans="9:12" x14ac:dyDescent="0.3">
      <c r="I1624" s="71"/>
      <c r="J1624" s="71"/>
      <c r="K1624" s="71"/>
      <c r="L1624" s="71"/>
    </row>
    <row r="1625" spans="9:12" x14ac:dyDescent="0.3">
      <c r="I1625" s="71"/>
      <c r="J1625" s="71"/>
      <c r="K1625" s="71"/>
      <c r="L1625" s="71"/>
    </row>
    <row r="1626" spans="9:12" x14ac:dyDescent="0.3">
      <c r="I1626" s="71"/>
      <c r="J1626" s="71"/>
      <c r="K1626" s="71"/>
      <c r="L1626" s="71"/>
    </row>
    <row r="1627" spans="9:12" x14ac:dyDescent="0.3">
      <c r="I1627" s="71"/>
      <c r="J1627" s="71"/>
      <c r="K1627" s="71"/>
      <c r="L1627" s="71"/>
    </row>
    <row r="1628" spans="9:12" x14ac:dyDescent="0.3">
      <c r="I1628" s="71"/>
      <c r="J1628" s="71"/>
      <c r="K1628" s="71"/>
      <c r="L1628" s="71"/>
    </row>
    <row r="1629" spans="9:12" x14ac:dyDescent="0.3">
      <c r="I1629" s="71"/>
      <c r="J1629" s="71"/>
      <c r="K1629" s="71"/>
      <c r="L1629" s="71"/>
    </row>
    <row r="1630" spans="9:12" x14ac:dyDescent="0.3">
      <c r="I1630" s="71"/>
      <c r="J1630" s="71"/>
      <c r="K1630" s="71"/>
      <c r="L1630" s="71"/>
    </row>
    <row r="1631" spans="9:12" x14ac:dyDescent="0.3">
      <c r="I1631" s="71"/>
      <c r="J1631" s="71"/>
      <c r="K1631" s="71"/>
      <c r="L1631" s="71"/>
    </row>
    <row r="1632" spans="9:12" x14ac:dyDescent="0.3">
      <c r="I1632" s="71"/>
      <c r="J1632" s="71"/>
      <c r="K1632" s="71"/>
      <c r="L1632" s="71"/>
    </row>
    <row r="1633" spans="9:12" x14ac:dyDescent="0.3">
      <c r="I1633" s="71"/>
      <c r="J1633" s="71"/>
      <c r="K1633" s="71"/>
      <c r="L1633" s="71"/>
    </row>
    <row r="1634" spans="9:12" x14ac:dyDescent="0.3">
      <c r="I1634" s="71"/>
      <c r="J1634" s="71"/>
      <c r="K1634" s="71"/>
      <c r="L1634" s="71"/>
    </row>
    <row r="1635" spans="9:12" x14ac:dyDescent="0.3">
      <c r="I1635" s="71"/>
      <c r="J1635" s="71"/>
      <c r="K1635" s="71"/>
      <c r="L1635" s="71"/>
    </row>
    <row r="1636" spans="9:12" x14ac:dyDescent="0.3">
      <c r="I1636" s="71"/>
      <c r="J1636" s="71"/>
      <c r="K1636" s="71"/>
      <c r="L1636" s="71"/>
    </row>
    <row r="1637" spans="9:12" x14ac:dyDescent="0.3">
      <c r="I1637" s="71"/>
      <c r="J1637" s="71"/>
      <c r="K1637" s="71"/>
      <c r="L1637" s="71"/>
    </row>
    <row r="1638" spans="9:12" x14ac:dyDescent="0.3">
      <c r="I1638" s="71"/>
      <c r="J1638" s="71"/>
      <c r="K1638" s="71"/>
      <c r="L1638" s="71"/>
    </row>
    <row r="1639" spans="9:12" x14ac:dyDescent="0.3">
      <c r="I1639" s="71"/>
      <c r="J1639" s="71"/>
      <c r="K1639" s="71"/>
      <c r="L1639" s="71"/>
    </row>
    <row r="1640" spans="9:12" x14ac:dyDescent="0.3">
      <c r="I1640" s="71"/>
      <c r="J1640" s="71"/>
      <c r="K1640" s="71"/>
      <c r="L1640" s="71"/>
    </row>
    <row r="1641" spans="9:12" x14ac:dyDescent="0.3">
      <c r="I1641" s="71"/>
      <c r="J1641" s="71"/>
      <c r="K1641" s="71"/>
      <c r="L1641" s="71"/>
    </row>
    <row r="1642" spans="9:12" x14ac:dyDescent="0.3">
      <c r="I1642" s="71"/>
      <c r="J1642" s="71"/>
      <c r="K1642" s="71"/>
      <c r="L1642" s="71"/>
    </row>
    <row r="1643" spans="9:12" x14ac:dyDescent="0.3">
      <c r="I1643" s="71"/>
      <c r="J1643" s="71"/>
      <c r="K1643" s="71"/>
      <c r="L1643" s="71"/>
    </row>
    <row r="1644" spans="9:12" x14ac:dyDescent="0.3">
      <c r="I1644" s="71"/>
      <c r="J1644" s="71"/>
      <c r="K1644" s="71"/>
      <c r="L1644" s="71"/>
    </row>
    <row r="1645" spans="9:12" x14ac:dyDescent="0.3">
      <c r="I1645" s="71"/>
      <c r="J1645" s="71"/>
      <c r="K1645" s="71"/>
      <c r="L1645" s="71"/>
    </row>
    <row r="1646" spans="9:12" x14ac:dyDescent="0.3">
      <c r="I1646" s="71"/>
      <c r="J1646" s="71"/>
      <c r="K1646" s="71"/>
      <c r="L1646" s="71"/>
    </row>
    <row r="1647" spans="9:12" x14ac:dyDescent="0.3">
      <c r="I1647" s="71"/>
      <c r="J1647" s="71"/>
      <c r="K1647" s="71"/>
      <c r="L1647" s="71"/>
    </row>
    <row r="1648" spans="9:12" x14ac:dyDescent="0.3">
      <c r="I1648" s="71"/>
      <c r="J1648" s="71"/>
      <c r="K1648" s="71"/>
      <c r="L1648" s="71"/>
    </row>
    <row r="1649" spans="9:12" x14ac:dyDescent="0.3">
      <c r="I1649" s="71"/>
      <c r="J1649" s="71"/>
      <c r="K1649" s="71"/>
      <c r="L1649" s="71"/>
    </row>
    <row r="1650" spans="9:12" x14ac:dyDescent="0.3">
      <c r="I1650" s="71"/>
      <c r="J1650" s="71"/>
      <c r="K1650" s="71"/>
      <c r="L1650" s="71"/>
    </row>
    <row r="1651" spans="9:12" x14ac:dyDescent="0.3">
      <c r="I1651" s="71"/>
      <c r="J1651" s="71"/>
      <c r="K1651" s="71"/>
      <c r="L1651" s="71"/>
    </row>
    <row r="1652" spans="9:12" x14ac:dyDescent="0.3">
      <c r="I1652" s="71"/>
      <c r="J1652" s="71"/>
      <c r="K1652" s="71"/>
      <c r="L1652" s="71"/>
    </row>
    <row r="1653" spans="9:12" x14ac:dyDescent="0.3">
      <c r="I1653" s="71"/>
      <c r="J1653" s="71"/>
      <c r="K1653" s="71"/>
      <c r="L1653" s="71"/>
    </row>
    <row r="1654" spans="9:12" x14ac:dyDescent="0.3">
      <c r="I1654" s="71"/>
      <c r="J1654" s="71"/>
      <c r="K1654" s="71"/>
      <c r="L1654" s="71"/>
    </row>
    <row r="1655" spans="9:12" x14ac:dyDescent="0.3">
      <c r="I1655" s="71"/>
      <c r="J1655" s="71"/>
      <c r="K1655" s="71"/>
      <c r="L1655" s="71"/>
    </row>
    <row r="1656" spans="9:12" x14ac:dyDescent="0.3">
      <c r="I1656" s="71"/>
      <c r="J1656" s="71"/>
      <c r="K1656" s="71"/>
      <c r="L1656" s="71"/>
    </row>
    <row r="1657" spans="9:12" x14ac:dyDescent="0.3">
      <c r="I1657" s="71"/>
      <c r="J1657" s="71"/>
      <c r="K1657" s="71"/>
      <c r="L1657" s="71"/>
    </row>
    <row r="1658" spans="9:12" x14ac:dyDescent="0.3">
      <c r="I1658" s="71"/>
      <c r="J1658" s="71"/>
      <c r="K1658" s="71"/>
      <c r="L1658" s="71"/>
    </row>
    <row r="1659" spans="9:12" x14ac:dyDescent="0.3">
      <c r="I1659" s="71"/>
      <c r="J1659" s="71"/>
      <c r="K1659" s="71"/>
      <c r="L1659" s="71"/>
    </row>
    <row r="1660" spans="9:12" x14ac:dyDescent="0.3">
      <c r="I1660" s="71"/>
      <c r="J1660" s="71"/>
      <c r="K1660" s="71"/>
      <c r="L1660" s="71"/>
    </row>
    <row r="1661" spans="9:12" x14ac:dyDescent="0.3">
      <c r="I1661" s="71"/>
      <c r="J1661" s="71"/>
      <c r="K1661" s="71"/>
      <c r="L1661" s="71"/>
    </row>
    <row r="1662" spans="9:12" x14ac:dyDescent="0.3">
      <c r="I1662" s="71"/>
      <c r="J1662" s="71"/>
      <c r="K1662" s="71"/>
      <c r="L1662" s="71"/>
    </row>
    <row r="1663" spans="9:12" x14ac:dyDescent="0.3">
      <c r="I1663" s="71"/>
      <c r="J1663" s="71"/>
      <c r="K1663" s="71"/>
      <c r="L1663" s="71"/>
    </row>
    <row r="1664" spans="9:12" x14ac:dyDescent="0.3">
      <c r="I1664" s="71"/>
      <c r="J1664" s="71"/>
      <c r="K1664" s="71"/>
      <c r="L1664" s="71"/>
    </row>
    <row r="1665" spans="9:12" x14ac:dyDescent="0.3">
      <c r="I1665" s="71"/>
      <c r="J1665" s="71"/>
      <c r="K1665" s="71"/>
      <c r="L1665" s="71"/>
    </row>
    <row r="1666" spans="9:12" x14ac:dyDescent="0.3">
      <c r="I1666" s="71"/>
      <c r="J1666" s="71"/>
      <c r="K1666" s="71"/>
      <c r="L1666" s="71"/>
    </row>
    <row r="1667" spans="9:12" x14ac:dyDescent="0.3">
      <c r="I1667" s="71"/>
      <c r="J1667" s="71"/>
      <c r="K1667" s="71"/>
      <c r="L1667" s="71"/>
    </row>
    <row r="1668" spans="9:12" x14ac:dyDescent="0.3">
      <c r="I1668" s="71"/>
      <c r="J1668" s="71"/>
      <c r="K1668" s="71"/>
      <c r="L1668" s="71"/>
    </row>
    <row r="1669" spans="9:12" x14ac:dyDescent="0.3">
      <c r="I1669" s="71"/>
      <c r="J1669" s="71"/>
      <c r="K1669" s="71"/>
      <c r="L1669" s="71"/>
    </row>
    <row r="1670" spans="9:12" x14ac:dyDescent="0.3">
      <c r="I1670" s="71"/>
      <c r="J1670" s="71"/>
      <c r="K1670" s="71"/>
      <c r="L1670" s="71"/>
    </row>
    <row r="1671" spans="9:12" x14ac:dyDescent="0.3">
      <c r="I1671" s="71"/>
      <c r="J1671" s="71"/>
      <c r="K1671" s="71"/>
      <c r="L1671" s="71"/>
    </row>
    <row r="1672" spans="9:12" x14ac:dyDescent="0.3">
      <c r="I1672" s="71"/>
      <c r="J1672" s="71"/>
      <c r="K1672" s="71"/>
      <c r="L1672" s="71"/>
    </row>
    <row r="1673" spans="9:12" x14ac:dyDescent="0.3">
      <c r="I1673" s="71"/>
      <c r="J1673" s="71"/>
      <c r="K1673" s="71"/>
      <c r="L1673" s="71"/>
    </row>
    <row r="1674" spans="9:12" x14ac:dyDescent="0.3">
      <c r="I1674" s="71"/>
      <c r="J1674" s="71"/>
      <c r="K1674" s="71"/>
      <c r="L1674" s="71"/>
    </row>
    <row r="1675" spans="9:12" x14ac:dyDescent="0.3">
      <c r="I1675" s="71"/>
      <c r="J1675" s="71"/>
      <c r="K1675" s="71"/>
      <c r="L1675" s="71"/>
    </row>
    <row r="1676" spans="9:12" x14ac:dyDescent="0.3">
      <c r="I1676" s="71"/>
      <c r="J1676" s="71"/>
      <c r="K1676" s="71"/>
      <c r="L1676" s="71"/>
    </row>
    <row r="1677" spans="9:12" x14ac:dyDescent="0.3">
      <c r="I1677" s="71"/>
      <c r="J1677" s="71"/>
      <c r="K1677" s="71"/>
      <c r="L1677" s="71"/>
    </row>
    <row r="1678" spans="9:12" x14ac:dyDescent="0.3">
      <c r="I1678" s="71"/>
      <c r="J1678" s="71"/>
      <c r="K1678" s="71"/>
      <c r="L1678" s="71"/>
    </row>
    <row r="1679" spans="9:12" x14ac:dyDescent="0.3">
      <c r="I1679" s="71"/>
      <c r="J1679" s="71"/>
      <c r="K1679" s="71"/>
      <c r="L1679" s="71"/>
    </row>
    <row r="1680" spans="9:12" x14ac:dyDescent="0.3">
      <c r="I1680" s="71"/>
      <c r="J1680" s="71"/>
      <c r="K1680" s="71"/>
      <c r="L1680" s="71"/>
    </row>
    <row r="1681" spans="9:12" x14ac:dyDescent="0.3">
      <c r="I1681" s="71"/>
      <c r="J1681" s="71"/>
      <c r="K1681" s="71"/>
      <c r="L1681" s="71"/>
    </row>
    <row r="1682" spans="9:12" x14ac:dyDescent="0.3">
      <c r="I1682" s="71"/>
      <c r="J1682" s="71"/>
      <c r="K1682" s="71"/>
      <c r="L1682" s="71"/>
    </row>
    <row r="1683" spans="9:12" x14ac:dyDescent="0.3">
      <c r="I1683" s="71"/>
      <c r="J1683" s="71"/>
      <c r="K1683" s="71"/>
      <c r="L1683" s="71"/>
    </row>
    <row r="1684" spans="9:12" x14ac:dyDescent="0.3">
      <c r="I1684" s="71"/>
      <c r="J1684" s="71"/>
      <c r="K1684" s="71"/>
      <c r="L1684" s="71"/>
    </row>
    <row r="1685" spans="9:12" x14ac:dyDescent="0.3">
      <c r="I1685" s="71"/>
      <c r="J1685" s="71"/>
      <c r="K1685" s="71"/>
      <c r="L1685" s="71"/>
    </row>
    <row r="1686" spans="9:12" x14ac:dyDescent="0.3">
      <c r="I1686" s="71"/>
      <c r="J1686" s="71"/>
      <c r="K1686" s="71"/>
      <c r="L1686" s="71"/>
    </row>
    <row r="1687" spans="9:12" x14ac:dyDescent="0.3">
      <c r="I1687" s="71"/>
      <c r="J1687" s="71"/>
      <c r="K1687" s="71"/>
      <c r="L1687" s="71"/>
    </row>
    <row r="1688" spans="9:12" x14ac:dyDescent="0.3">
      <c r="I1688" s="71"/>
      <c r="J1688" s="71"/>
      <c r="K1688" s="71"/>
      <c r="L1688" s="71"/>
    </row>
    <row r="1689" spans="9:12" x14ac:dyDescent="0.3">
      <c r="I1689" s="71"/>
      <c r="J1689" s="71"/>
      <c r="K1689" s="71"/>
      <c r="L1689" s="71"/>
    </row>
    <row r="1690" spans="9:12" x14ac:dyDescent="0.3">
      <c r="I1690" s="71"/>
      <c r="J1690" s="71"/>
      <c r="K1690" s="71"/>
      <c r="L1690" s="71"/>
    </row>
    <row r="1691" spans="9:12" x14ac:dyDescent="0.3">
      <c r="I1691" s="71"/>
      <c r="J1691" s="71"/>
      <c r="K1691" s="71"/>
      <c r="L1691" s="71"/>
    </row>
    <row r="1692" spans="9:12" x14ac:dyDescent="0.3">
      <c r="I1692" s="71"/>
      <c r="J1692" s="71"/>
      <c r="K1692" s="71"/>
      <c r="L1692" s="71"/>
    </row>
    <row r="1693" spans="9:12" x14ac:dyDescent="0.3">
      <c r="I1693" s="71"/>
      <c r="J1693" s="71"/>
      <c r="K1693" s="71"/>
      <c r="L1693" s="71"/>
    </row>
    <row r="1694" spans="9:12" x14ac:dyDescent="0.3">
      <c r="I1694" s="71"/>
      <c r="J1694" s="71"/>
      <c r="K1694" s="71"/>
      <c r="L1694" s="71"/>
    </row>
    <row r="1695" spans="9:12" x14ac:dyDescent="0.3">
      <c r="I1695" s="71"/>
      <c r="J1695" s="71"/>
      <c r="K1695" s="71"/>
      <c r="L1695" s="71"/>
    </row>
    <row r="1696" spans="9:12" x14ac:dyDescent="0.3">
      <c r="I1696" s="71"/>
      <c r="J1696" s="71"/>
      <c r="K1696" s="71"/>
      <c r="L1696" s="71"/>
    </row>
    <row r="1697" spans="9:12" x14ac:dyDescent="0.3">
      <c r="I1697" s="71"/>
      <c r="J1697" s="71"/>
      <c r="K1697" s="71"/>
      <c r="L1697" s="71"/>
    </row>
    <row r="1698" spans="9:12" x14ac:dyDescent="0.3">
      <c r="I1698" s="71"/>
      <c r="J1698" s="71"/>
      <c r="K1698" s="71"/>
      <c r="L1698" s="71"/>
    </row>
    <row r="1699" spans="9:12" x14ac:dyDescent="0.3">
      <c r="I1699" s="71"/>
      <c r="J1699" s="71"/>
      <c r="K1699" s="71"/>
      <c r="L1699" s="71"/>
    </row>
    <row r="1700" spans="9:12" x14ac:dyDescent="0.3">
      <c r="I1700" s="71"/>
      <c r="J1700" s="71"/>
      <c r="K1700" s="71"/>
      <c r="L1700" s="71"/>
    </row>
    <row r="1701" spans="9:12" x14ac:dyDescent="0.3">
      <c r="I1701" s="71"/>
      <c r="J1701" s="71"/>
      <c r="K1701" s="71"/>
      <c r="L1701" s="71"/>
    </row>
    <row r="1702" spans="9:12" x14ac:dyDescent="0.3">
      <c r="I1702" s="71"/>
      <c r="J1702" s="71"/>
      <c r="K1702" s="71"/>
      <c r="L1702" s="71"/>
    </row>
    <row r="1703" spans="9:12" x14ac:dyDescent="0.3">
      <c r="I1703" s="71"/>
      <c r="J1703" s="71"/>
      <c r="K1703" s="71"/>
      <c r="L1703" s="71"/>
    </row>
    <row r="1704" spans="9:12" x14ac:dyDescent="0.3">
      <c r="I1704" s="71"/>
      <c r="J1704" s="71"/>
      <c r="K1704" s="71"/>
      <c r="L1704" s="71"/>
    </row>
    <row r="1705" spans="9:12" x14ac:dyDescent="0.3">
      <c r="I1705" s="71"/>
      <c r="J1705" s="71"/>
      <c r="K1705" s="71"/>
      <c r="L1705" s="71"/>
    </row>
    <row r="1706" spans="9:12" x14ac:dyDescent="0.3">
      <c r="I1706" s="71"/>
      <c r="J1706" s="71"/>
      <c r="K1706" s="71"/>
      <c r="L1706" s="71"/>
    </row>
    <row r="1707" spans="9:12" x14ac:dyDescent="0.3">
      <c r="I1707" s="71"/>
      <c r="J1707" s="71"/>
      <c r="K1707" s="71"/>
      <c r="L1707" s="71"/>
    </row>
    <row r="1708" spans="9:12" x14ac:dyDescent="0.3">
      <c r="I1708" s="71"/>
      <c r="J1708" s="71"/>
      <c r="K1708" s="71"/>
      <c r="L1708" s="71"/>
    </row>
    <row r="1709" spans="9:12" x14ac:dyDescent="0.3">
      <c r="I1709" s="71"/>
      <c r="J1709" s="71"/>
      <c r="K1709" s="71"/>
      <c r="L1709" s="71"/>
    </row>
    <row r="1710" spans="9:12" x14ac:dyDescent="0.3">
      <c r="I1710" s="71"/>
      <c r="J1710" s="71"/>
      <c r="K1710" s="71"/>
      <c r="L1710" s="71"/>
    </row>
    <row r="1711" spans="9:12" x14ac:dyDescent="0.3">
      <c r="I1711" s="71"/>
      <c r="J1711" s="71"/>
      <c r="K1711" s="71"/>
      <c r="L1711" s="71"/>
    </row>
    <row r="1712" spans="9:12" x14ac:dyDescent="0.3">
      <c r="I1712" s="71"/>
      <c r="J1712" s="71"/>
      <c r="K1712" s="71"/>
      <c r="L1712" s="71"/>
    </row>
    <row r="1713" spans="9:12" x14ac:dyDescent="0.3">
      <c r="I1713" s="71"/>
      <c r="J1713" s="71"/>
      <c r="K1713" s="71"/>
      <c r="L1713" s="71"/>
    </row>
    <row r="1714" spans="9:12" x14ac:dyDescent="0.3">
      <c r="I1714" s="71"/>
      <c r="J1714" s="71"/>
      <c r="K1714" s="71"/>
      <c r="L1714" s="71"/>
    </row>
    <row r="1715" spans="9:12" x14ac:dyDescent="0.3">
      <c r="I1715" s="71"/>
      <c r="J1715" s="71"/>
      <c r="K1715" s="71"/>
      <c r="L1715" s="71"/>
    </row>
    <row r="1716" spans="9:12" x14ac:dyDescent="0.3">
      <c r="I1716" s="71"/>
      <c r="J1716" s="71"/>
      <c r="K1716" s="71"/>
      <c r="L1716" s="71"/>
    </row>
    <row r="1717" spans="9:12" x14ac:dyDescent="0.3">
      <c r="I1717" s="71"/>
      <c r="J1717" s="71"/>
      <c r="K1717" s="71"/>
      <c r="L1717" s="71"/>
    </row>
    <row r="1718" spans="9:12" x14ac:dyDescent="0.3">
      <c r="I1718" s="71"/>
      <c r="J1718" s="71"/>
      <c r="K1718" s="71"/>
      <c r="L1718" s="71"/>
    </row>
    <row r="1719" spans="9:12" x14ac:dyDescent="0.3">
      <c r="I1719" s="71"/>
      <c r="J1719" s="71"/>
      <c r="K1719" s="71"/>
      <c r="L1719" s="71"/>
    </row>
    <row r="1720" spans="9:12" x14ac:dyDescent="0.3">
      <c r="I1720" s="71"/>
      <c r="J1720" s="71"/>
      <c r="K1720" s="71"/>
      <c r="L1720" s="71"/>
    </row>
    <row r="1721" spans="9:12" x14ac:dyDescent="0.3">
      <c r="I1721" s="71"/>
      <c r="J1721" s="71"/>
      <c r="K1721" s="71"/>
      <c r="L1721" s="71"/>
    </row>
    <row r="1722" spans="9:12" x14ac:dyDescent="0.3">
      <c r="I1722" s="71"/>
      <c r="J1722" s="71"/>
      <c r="K1722" s="71"/>
      <c r="L1722" s="71"/>
    </row>
    <row r="1723" spans="9:12" x14ac:dyDescent="0.3">
      <c r="I1723" s="71"/>
      <c r="J1723" s="71"/>
      <c r="K1723" s="71"/>
      <c r="L1723" s="71"/>
    </row>
    <row r="1724" spans="9:12" x14ac:dyDescent="0.3">
      <c r="I1724" s="71"/>
      <c r="J1724" s="71"/>
      <c r="K1724" s="71"/>
      <c r="L1724" s="71"/>
    </row>
    <row r="1725" spans="9:12" x14ac:dyDescent="0.3">
      <c r="I1725" s="71"/>
      <c r="J1725" s="71"/>
      <c r="K1725" s="71"/>
      <c r="L1725" s="71"/>
    </row>
    <row r="1726" spans="9:12" x14ac:dyDescent="0.3">
      <c r="I1726" s="71"/>
      <c r="J1726" s="71"/>
      <c r="K1726" s="71"/>
      <c r="L1726" s="71"/>
    </row>
    <row r="1727" spans="9:12" x14ac:dyDescent="0.3">
      <c r="I1727" s="71"/>
      <c r="J1727" s="71"/>
      <c r="K1727" s="71"/>
      <c r="L1727" s="71"/>
    </row>
    <row r="1728" spans="9:12" x14ac:dyDescent="0.3">
      <c r="I1728" s="71"/>
      <c r="J1728" s="71"/>
      <c r="K1728" s="71"/>
      <c r="L1728" s="71"/>
    </row>
    <row r="1729" spans="9:12" x14ac:dyDescent="0.3">
      <c r="I1729" s="71"/>
      <c r="J1729" s="71"/>
      <c r="K1729" s="71"/>
      <c r="L1729" s="71"/>
    </row>
    <row r="1730" spans="9:12" x14ac:dyDescent="0.3">
      <c r="I1730" s="71"/>
      <c r="J1730" s="71"/>
      <c r="K1730" s="71"/>
      <c r="L1730" s="71"/>
    </row>
    <row r="1731" spans="9:12" x14ac:dyDescent="0.3">
      <c r="I1731" s="71"/>
      <c r="J1731" s="71"/>
      <c r="K1731" s="71"/>
      <c r="L1731" s="71"/>
    </row>
    <row r="1732" spans="9:12" x14ac:dyDescent="0.3">
      <c r="I1732" s="71"/>
      <c r="J1732" s="71"/>
      <c r="K1732" s="71"/>
      <c r="L1732" s="71"/>
    </row>
    <row r="1733" spans="9:12" x14ac:dyDescent="0.3">
      <c r="I1733" s="71"/>
      <c r="J1733" s="71"/>
      <c r="K1733" s="71"/>
      <c r="L1733" s="71"/>
    </row>
    <row r="1734" spans="9:12" x14ac:dyDescent="0.3">
      <c r="I1734" s="71"/>
      <c r="J1734" s="71"/>
      <c r="K1734" s="71"/>
      <c r="L1734" s="71"/>
    </row>
    <row r="1735" spans="9:12" x14ac:dyDescent="0.3">
      <c r="I1735" s="71"/>
      <c r="J1735" s="71"/>
      <c r="K1735" s="71"/>
      <c r="L1735" s="71"/>
    </row>
    <row r="1736" spans="9:12" x14ac:dyDescent="0.3">
      <c r="I1736" s="71"/>
      <c r="J1736" s="71"/>
      <c r="K1736" s="71"/>
      <c r="L1736" s="71"/>
    </row>
    <row r="1737" spans="9:12" x14ac:dyDescent="0.3">
      <c r="I1737" s="71"/>
      <c r="J1737" s="71"/>
      <c r="K1737" s="71"/>
      <c r="L1737" s="71"/>
    </row>
    <row r="1738" spans="9:12" x14ac:dyDescent="0.3">
      <c r="I1738" s="71"/>
      <c r="J1738" s="71"/>
      <c r="K1738" s="71"/>
      <c r="L1738" s="71"/>
    </row>
    <row r="1739" spans="9:12" x14ac:dyDescent="0.3">
      <c r="I1739" s="71"/>
      <c r="J1739" s="71"/>
      <c r="K1739" s="71"/>
      <c r="L1739" s="71"/>
    </row>
    <row r="1740" spans="9:12" x14ac:dyDescent="0.3">
      <c r="I1740" s="71"/>
      <c r="J1740" s="71"/>
      <c r="K1740" s="71"/>
      <c r="L1740" s="71"/>
    </row>
    <row r="1741" spans="9:12" x14ac:dyDescent="0.3">
      <c r="I1741" s="71"/>
      <c r="J1741" s="71"/>
      <c r="K1741" s="71"/>
      <c r="L1741" s="71"/>
    </row>
    <row r="1742" spans="9:12" x14ac:dyDescent="0.3">
      <c r="I1742" s="71"/>
      <c r="J1742" s="71"/>
      <c r="K1742" s="71"/>
      <c r="L1742" s="71"/>
    </row>
    <row r="1743" spans="9:12" x14ac:dyDescent="0.3">
      <c r="I1743" s="71"/>
      <c r="J1743" s="71"/>
      <c r="K1743" s="71"/>
      <c r="L1743" s="71"/>
    </row>
    <row r="1744" spans="9:12" x14ac:dyDescent="0.3">
      <c r="I1744" s="71"/>
      <c r="J1744" s="71"/>
      <c r="K1744" s="71"/>
      <c r="L1744" s="71"/>
    </row>
    <row r="1745" spans="9:12" x14ac:dyDescent="0.3">
      <c r="I1745" s="71"/>
      <c r="J1745" s="71"/>
      <c r="K1745" s="71"/>
      <c r="L1745" s="71"/>
    </row>
    <row r="1746" spans="9:12" x14ac:dyDescent="0.3">
      <c r="I1746" s="71"/>
      <c r="J1746" s="71"/>
      <c r="K1746" s="71"/>
      <c r="L1746" s="71"/>
    </row>
    <row r="1747" spans="9:12" x14ac:dyDescent="0.3">
      <c r="I1747" s="71"/>
      <c r="J1747" s="71"/>
      <c r="K1747" s="71"/>
      <c r="L1747" s="71"/>
    </row>
    <row r="1748" spans="9:12" x14ac:dyDescent="0.3">
      <c r="I1748" s="71"/>
      <c r="J1748" s="71"/>
      <c r="K1748" s="71"/>
      <c r="L1748" s="71"/>
    </row>
  </sheetData>
  <autoFilter ref="B51:L129" xr:uid="{D5BC0C1F-CD5A-48D5-B79D-A59FB7DC72E0}"/>
  <mergeCells count="1">
    <mergeCell ref="D39:F39"/>
  </mergeCells>
  <conditionalFormatting sqref="C5:D5">
    <cfRule type="duplicateValues" dxfId="41" priority="21"/>
  </conditionalFormatting>
  <conditionalFormatting sqref="C5:D5">
    <cfRule type="duplicateValues" dxfId="40" priority="20"/>
  </conditionalFormatting>
  <conditionalFormatting sqref="C5:D5">
    <cfRule type="duplicateValues" dxfId="39" priority="19"/>
  </conditionalFormatting>
  <conditionalFormatting sqref="C10:E11">
    <cfRule type="cellIs" dxfId="38" priority="16" operator="between">
      <formula>0.501</formula>
      <formula>0.999</formula>
    </cfRule>
    <cfRule type="cellIs" dxfId="37" priority="17" operator="lessThan">
      <formula>0.5</formula>
    </cfRule>
    <cfRule type="cellIs" dxfId="36" priority="18" operator="greaterThan">
      <formula>1</formula>
    </cfRule>
  </conditionalFormatting>
  <conditionalFormatting sqref="E5:F5">
    <cfRule type="duplicateValues" dxfId="35" priority="15"/>
  </conditionalFormatting>
  <conditionalFormatting sqref="E5:F5">
    <cfRule type="duplicateValues" dxfId="34" priority="14"/>
  </conditionalFormatting>
  <conditionalFormatting sqref="E5:F5">
    <cfRule type="duplicateValues" dxfId="33" priority="13"/>
  </conditionalFormatting>
  <conditionalFormatting sqref="F11:G11">
    <cfRule type="cellIs" dxfId="32" priority="10" operator="between">
      <formula>0.501</formula>
      <formula>0.999</formula>
    </cfRule>
    <cfRule type="cellIs" dxfId="31" priority="11" operator="lessThan">
      <formula>0.5</formula>
    </cfRule>
    <cfRule type="cellIs" dxfId="30" priority="12" operator="greaterThan">
      <formula>1</formula>
    </cfRule>
  </conditionalFormatting>
  <conditionalFormatting sqref="F14">
    <cfRule type="cellIs" dxfId="29" priority="7" operator="between">
      <formula>0.501</formula>
      <formula>0.999</formula>
    </cfRule>
    <cfRule type="cellIs" dxfId="28" priority="8" operator="lessThan">
      <formula>0.5</formula>
    </cfRule>
    <cfRule type="cellIs" dxfId="27" priority="9" operator="greaterThan">
      <formula>1</formula>
    </cfRule>
  </conditionalFormatting>
  <conditionalFormatting sqref="F18">
    <cfRule type="cellIs" dxfId="26" priority="4" operator="between">
      <formula>0.501</formula>
      <formula>0.999</formula>
    </cfRule>
    <cfRule type="cellIs" dxfId="25" priority="5" operator="lessThan">
      <formula>0.5</formula>
    </cfRule>
    <cfRule type="cellIs" dxfId="24" priority="6" operator="greaterThan">
      <formula>1</formula>
    </cfRule>
  </conditionalFormatting>
  <conditionalFormatting sqref="H11">
    <cfRule type="cellIs" dxfId="23" priority="1" operator="between">
      <formula>0.501</formula>
      <formula>0.999</formula>
    </cfRule>
    <cfRule type="cellIs" dxfId="22" priority="2" operator="lessThan">
      <formula>0.5</formula>
    </cfRule>
    <cfRule type="cellIs" dxfId="21" priority="3" operator="greaterThan">
      <formula>1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EB961-0F25-4F39-A5D3-3244ED35C9EF}">
  <sheetPr codeName="Sheet46">
    <tabColor rgb="FF00B0F0"/>
  </sheetPr>
  <dimension ref="B3:O1748"/>
  <sheetViews>
    <sheetView showGridLines="0" tabSelected="1" zoomScale="85" zoomScaleNormal="85" workbookViewId="0"/>
  </sheetViews>
  <sheetFormatPr defaultRowHeight="14.4" x14ac:dyDescent="0.3"/>
  <cols>
    <col min="1" max="1" width="5.21875" style="6" customWidth="1"/>
    <col min="2" max="2" width="31.88671875" style="6" customWidth="1"/>
    <col min="3" max="3" width="29.6640625" style="6" bestFit="1" customWidth="1"/>
    <col min="4" max="4" width="40.88671875" style="6" customWidth="1"/>
    <col min="5" max="5" width="19.109375" style="6" customWidth="1"/>
    <col min="6" max="6" width="27.44140625" style="6" customWidth="1"/>
    <col min="7" max="7" width="20.6640625" style="5" customWidth="1"/>
    <col min="8" max="8" width="16.44140625" style="6" customWidth="1"/>
    <col min="9" max="9" width="17.88671875" style="6" customWidth="1"/>
    <col min="10" max="10" width="12.33203125" style="5" customWidth="1"/>
    <col min="11" max="11" width="15.44140625" style="6" customWidth="1"/>
    <col min="12" max="16384" width="8.88671875" style="6"/>
  </cols>
  <sheetData>
    <row r="3" spans="2:9" s="5" customFormat="1" ht="21" x14ac:dyDescent="0.3">
      <c r="B3" s="55" t="s">
        <v>168</v>
      </c>
      <c r="C3" s="1"/>
      <c r="D3" s="1">
        <v>8888888</v>
      </c>
      <c r="E3" s="1"/>
      <c r="F3" s="1"/>
      <c r="H3" s="7"/>
      <c r="I3" s="6"/>
    </row>
    <row r="5" spans="2:9" s="5" customFormat="1" ht="15.6" x14ac:dyDescent="0.3">
      <c r="B5" s="8" t="s">
        <v>0</v>
      </c>
      <c r="C5" s="9" t="s">
        <v>32</v>
      </c>
      <c r="D5" s="10"/>
      <c r="E5" s="9" t="s">
        <v>33</v>
      </c>
      <c r="F5" s="10"/>
      <c r="H5" s="6"/>
      <c r="I5" s="6"/>
    </row>
    <row r="6" spans="2:9" s="5" customFormat="1" x14ac:dyDescent="0.3">
      <c r="B6" s="2" t="s">
        <v>29</v>
      </c>
      <c r="C6" s="11" t="s">
        <v>116</v>
      </c>
      <c r="D6" s="2"/>
      <c r="E6" s="11" t="s">
        <v>118</v>
      </c>
      <c r="F6" s="2"/>
      <c r="H6" s="6"/>
      <c r="I6" s="6"/>
    </row>
    <row r="8" spans="2:9" s="5" customFormat="1" ht="15" thickBot="1" x14ac:dyDescent="0.35">
      <c r="B8" s="6"/>
      <c r="C8" s="12"/>
      <c r="D8" s="6"/>
      <c r="E8" s="6"/>
      <c r="F8" s="43" t="s">
        <v>108</v>
      </c>
      <c r="G8" s="6"/>
      <c r="H8" s="48"/>
      <c r="I8" s="6"/>
    </row>
    <row r="9" spans="2:9" s="5" customFormat="1" ht="16.2" thickBot="1" x14ac:dyDescent="0.35">
      <c r="B9" s="13" t="s">
        <v>35</v>
      </c>
      <c r="C9" s="14" t="s">
        <v>2</v>
      </c>
      <c r="D9" s="14" t="s">
        <v>3</v>
      </c>
      <c r="E9" s="14" t="s">
        <v>4</v>
      </c>
      <c r="F9" s="69" t="s">
        <v>2</v>
      </c>
      <c r="G9" s="69" t="s">
        <v>3</v>
      </c>
      <c r="H9" s="69" t="s">
        <v>4</v>
      </c>
      <c r="I9" s="6"/>
    </row>
    <row r="10" spans="2:9" s="5" customFormat="1" x14ac:dyDescent="0.3">
      <c r="B10" s="15" t="s">
        <v>36</v>
      </c>
      <c r="C10" s="16">
        <v>1.2551728693780162</v>
      </c>
      <c r="D10" s="16">
        <v>0.33228985714285714</v>
      </c>
      <c r="E10" s="16">
        <v>1.1611363365854079</v>
      </c>
      <c r="F10" s="26"/>
      <c r="G10" s="26"/>
      <c r="H10" s="26"/>
      <c r="I10" s="6"/>
    </row>
    <row r="11" spans="2:9" s="5" customFormat="1" x14ac:dyDescent="0.3">
      <c r="B11" s="18" t="s">
        <v>37</v>
      </c>
      <c r="C11" s="19">
        <v>1.25517286937802</v>
      </c>
      <c r="D11" s="19">
        <v>0.33228985714285703</v>
      </c>
      <c r="E11" s="19">
        <v>1.1611363365854079</v>
      </c>
      <c r="F11" s="19">
        <v>0.35190066809780374</v>
      </c>
      <c r="G11" s="19">
        <v>0.10665671428571399</v>
      </c>
      <c r="H11" s="19">
        <f>H12/H13</f>
        <v>0.32691170330042901</v>
      </c>
      <c r="I11" s="6"/>
    </row>
    <row r="12" spans="2:9" s="5" customFormat="1" x14ac:dyDescent="0.3">
      <c r="B12" s="20" t="s">
        <v>34</v>
      </c>
      <c r="C12" s="21">
        <v>3872122.398</v>
      </c>
      <c r="D12" s="21">
        <v>116301.45</v>
      </c>
      <c r="E12" s="21">
        <v>3988423.8480000002</v>
      </c>
      <c r="F12" s="21">
        <v>1085589.477</v>
      </c>
      <c r="G12" s="21">
        <v>37329.849999999897</v>
      </c>
      <c r="H12" s="21">
        <f>SUM(F12:G12)</f>
        <v>1122919.3269999998</v>
      </c>
      <c r="I12" s="6"/>
    </row>
    <row r="13" spans="2:9" s="5" customFormat="1" ht="15" thickBot="1" x14ac:dyDescent="0.35">
      <c r="B13" s="22" t="s">
        <v>5</v>
      </c>
      <c r="C13" s="23">
        <v>3084931.56</v>
      </c>
      <c r="D13" s="23">
        <v>350000</v>
      </c>
      <c r="E13" s="23">
        <v>3434931.56</v>
      </c>
      <c r="F13" s="23">
        <v>3084931.56</v>
      </c>
      <c r="G13" s="23">
        <v>350000</v>
      </c>
      <c r="H13" s="21">
        <f>SUM(F13:G13)</f>
        <v>3434931.56</v>
      </c>
      <c r="I13" s="6"/>
    </row>
    <row r="14" spans="2:9" s="5" customFormat="1" x14ac:dyDescent="0.3">
      <c r="B14" s="24" t="s">
        <v>38</v>
      </c>
      <c r="C14" s="25">
        <v>2.1670764405797103</v>
      </c>
      <c r="D14" s="26"/>
      <c r="E14" s="26"/>
      <c r="F14" s="19">
        <v>0.29007113043477972</v>
      </c>
      <c r="G14" s="26"/>
      <c r="H14" s="26"/>
      <c r="I14" s="6"/>
    </row>
    <row r="15" spans="2:9" s="5" customFormat="1" x14ac:dyDescent="0.3">
      <c r="B15" s="20" t="s">
        <v>112</v>
      </c>
      <c r="C15" s="21">
        <v>747641.37199999997</v>
      </c>
      <c r="D15" s="27"/>
      <c r="E15" s="27"/>
      <c r="F15" s="21">
        <v>100074.539999999</v>
      </c>
      <c r="G15" s="27"/>
      <c r="H15" s="27"/>
      <c r="I15" s="6"/>
    </row>
    <row r="16" spans="2:9" s="5" customFormat="1" x14ac:dyDescent="0.3">
      <c r="B16" s="20" t="s">
        <v>113</v>
      </c>
      <c r="C16" s="21">
        <v>740109.022</v>
      </c>
      <c r="D16" s="81">
        <v>771090.35199999937</v>
      </c>
      <c r="E16" s="81">
        <v>-30981.329999999376</v>
      </c>
      <c r="F16" s="27"/>
      <c r="G16" s="27"/>
      <c r="H16" s="27"/>
      <c r="I16" s="6"/>
    </row>
    <row r="17" spans="2:15" s="5" customFormat="1" ht="15" thickBot="1" x14ac:dyDescent="0.35">
      <c r="B17" s="20" t="s">
        <v>39</v>
      </c>
      <c r="C17" s="21">
        <v>345000</v>
      </c>
      <c r="D17" s="81"/>
      <c r="E17" s="81"/>
      <c r="F17" s="23">
        <v>345000</v>
      </c>
      <c r="G17" s="27"/>
      <c r="H17" s="27"/>
      <c r="I17" s="6"/>
    </row>
    <row r="18" spans="2:15" s="5" customFormat="1" x14ac:dyDescent="0.3">
      <c r="B18" s="20" t="s">
        <v>40</v>
      </c>
      <c r="C18" s="28">
        <v>1.1403500261152508</v>
      </c>
      <c r="D18" s="81"/>
      <c r="E18" s="81"/>
      <c r="F18" s="19">
        <v>0.3596859685794484</v>
      </c>
      <c r="G18" s="27"/>
      <c r="H18" s="27"/>
      <c r="I18" s="6"/>
    </row>
    <row r="19" spans="2:15" s="5" customFormat="1" x14ac:dyDescent="0.3">
      <c r="B19" s="20" t="s">
        <v>114</v>
      </c>
      <c r="C19" s="21">
        <v>3124481.0260000001</v>
      </c>
      <c r="D19" s="81"/>
      <c r="E19" s="81"/>
      <c r="F19" s="21">
        <v>985514.93699999899</v>
      </c>
      <c r="G19" s="27"/>
      <c r="H19" s="27"/>
      <c r="I19" s="6"/>
    </row>
    <row r="20" spans="2:15" s="5" customFormat="1" x14ac:dyDescent="0.3">
      <c r="B20" s="20" t="s">
        <v>115</v>
      </c>
      <c r="C20" s="21">
        <v>3076103.01</v>
      </c>
      <c r="D20" s="82">
        <v>3187849.2499999991</v>
      </c>
      <c r="E20" s="81">
        <v>-111746.23999999929</v>
      </c>
      <c r="F20" s="27"/>
      <c r="G20" s="83"/>
      <c r="H20" s="83"/>
      <c r="I20" s="6"/>
    </row>
    <row r="21" spans="2:15" s="5" customFormat="1" ht="15" thickBot="1" x14ac:dyDescent="0.35">
      <c r="B21" s="22" t="s">
        <v>41</v>
      </c>
      <c r="C21" s="23">
        <v>2739931.56</v>
      </c>
      <c r="D21" s="29"/>
      <c r="E21" s="29"/>
      <c r="F21" s="23">
        <v>2739931.56</v>
      </c>
      <c r="G21" s="29"/>
      <c r="H21" s="29"/>
      <c r="I21" s="6"/>
    </row>
    <row r="22" spans="2:15" s="5" customFormat="1" x14ac:dyDescent="0.3">
      <c r="B22"/>
      <c r="C22"/>
      <c r="D22"/>
      <c r="E22"/>
      <c r="F22"/>
      <c r="G22"/>
      <c r="H22"/>
      <c r="I22" s="6"/>
    </row>
    <row r="23" spans="2:15" s="5" customFormat="1" x14ac:dyDescent="0.3">
      <c r="B23"/>
      <c r="C23"/>
      <c r="D23"/>
      <c r="E23"/>
      <c r="F23"/>
      <c r="G23"/>
      <c r="H23"/>
      <c r="I23" s="6"/>
    </row>
    <row r="24" spans="2:15" s="5" customFormat="1" x14ac:dyDescent="0.3">
      <c r="B24"/>
      <c r="C24"/>
      <c r="D24"/>
      <c r="E24"/>
      <c r="F24"/>
      <c r="G24"/>
      <c r="H24"/>
      <c r="I24" s="6"/>
    </row>
    <row r="25" spans="2:15" s="5" customFormat="1" x14ac:dyDescent="0.3">
      <c r="B25"/>
      <c r="C25"/>
      <c r="D25"/>
      <c r="E25"/>
      <c r="F25"/>
      <c r="G25"/>
      <c r="H25"/>
      <c r="I25" s="6"/>
      <c r="K25" s="6"/>
      <c r="L25" s="6"/>
      <c r="M25" s="6"/>
      <c r="N25" s="6"/>
      <c r="O25" s="6"/>
    </row>
    <row r="26" spans="2:15" x14ac:dyDescent="0.3">
      <c r="G26" s="17"/>
    </row>
    <row r="27" spans="2:15" s="5" customFormat="1" x14ac:dyDescent="0.3">
      <c r="B27" s="6"/>
      <c r="C27" s="6"/>
      <c r="D27" s="6"/>
      <c r="E27" s="6"/>
      <c r="F27" s="6"/>
      <c r="G27" s="30"/>
      <c r="H27" s="6"/>
      <c r="I27" s="6"/>
      <c r="K27" s="6"/>
      <c r="L27" s="6"/>
      <c r="M27" s="6"/>
      <c r="N27" s="6"/>
      <c r="O27" s="6"/>
    </row>
    <row r="28" spans="2:15" s="5" customFormat="1" x14ac:dyDescent="0.3">
      <c r="B28" s="20" t="s">
        <v>50</v>
      </c>
      <c r="C28" s="53" t="s">
        <v>52</v>
      </c>
      <c r="D28" s="20" t="s">
        <v>51</v>
      </c>
      <c r="E28" s="54" t="s">
        <v>30</v>
      </c>
      <c r="F28" s="37"/>
      <c r="G28" s="30"/>
      <c r="H28" s="6"/>
      <c r="I28" s="6"/>
      <c r="K28" s="6"/>
      <c r="L28" s="6"/>
      <c r="M28" s="6"/>
      <c r="N28" s="6"/>
      <c r="O28" s="6"/>
    </row>
    <row r="29" spans="2:15" s="5" customFormat="1" x14ac:dyDescent="0.3">
      <c r="B29" s="6"/>
      <c r="C29" s="6"/>
      <c r="D29" s="6"/>
      <c r="E29" s="6"/>
      <c r="F29" s="6"/>
      <c r="G29" s="30"/>
      <c r="H29" s="6"/>
      <c r="I29" s="6"/>
      <c r="K29" s="6"/>
      <c r="L29" s="6"/>
      <c r="M29" s="6"/>
      <c r="N29" s="6"/>
      <c r="O29" s="6"/>
    </row>
    <row r="30" spans="2:15" s="5" customFormat="1" ht="18" x14ac:dyDescent="0.35">
      <c r="B30" s="31" t="s">
        <v>6</v>
      </c>
      <c r="C30" s="6"/>
      <c r="D30" s="6"/>
      <c r="E30" s="6"/>
      <c r="F30" s="6"/>
      <c r="G30" s="30"/>
      <c r="H30" s="6"/>
      <c r="I30" s="6"/>
      <c r="K30" s="6"/>
      <c r="L30" s="6"/>
      <c r="M30" s="6"/>
      <c r="N30" s="6"/>
      <c r="O30" s="6"/>
    </row>
    <row r="31" spans="2:15" s="5" customFormat="1" x14ac:dyDescent="0.3">
      <c r="B31" s="32" t="s">
        <v>7</v>
      </c>
      <c r="C31" s="33"/>
      <c r="D31" s="34" t="s">
        <v>8</v>
      </c>
      <c r="E31" s="35"/>
      <c r="F31" s="33"/>
      <c r="G31" s="30"/>
      <c r="H31" s="6"/>
      <c r="I31" s="6"/>
      <c r="K31" s="6"/>
      <c r="L31" s="6"/>
      <c r="M31" s="6"/>
      <c r="N31" s="6"/>
      <c r="O31" s="6"/>
    </row>
    <row r="32" spans="2:15" s="5" customFormat="1" x14ac:dyDescent="0.3">
      <c r="B32" s="36" t="s">
        <v>9</v>
      </c>
      <c r="C32" s="37"/>
      <c r="D32" s="38"/>
      <c r="E32" s="39"/>
      <c r="F32" s="37"/>
      <c r="G32" s="30"/>
      <c r="H32" s="6"/>
      <c r="I32" s="6"/>
      <c r="K32" s="6"/>
      <c r="L32" s="6"/>
      <c r="M32" s="6"/>
      <c r="N32" s="6"/>
      <c r="O32" s="6"/>
    </row>
    <row r="33" spans="2:15" s="5" customFormat="1" x14ac:dyDescent="0.3">
      <c r="B33" s="36" t="s">
        <v>10</v>
      </c>
      <c r="C33" s="37"/>
      <c r="D33" s="38"/>
      <c r="E33" s="39"/>
      <c r="F33" s="37"/>
      <c r="G33" s="30"/>
      <c r="H33" s="6"/>
      <c r="I33" s="6"/>
      <c r="K33" s="6"/>
      <c r="L33" s="6"/>
      <c r="M33" s="6"/>
      <c r="N33" s="6"/>
      <c r="O33" s="6"/>
    </row>
    <row r="34" spans="2:15" s="5" customFormat="1" x14ac:dyDescent="0.3">
      <c r="B34" s="36" t="s">
        <v>11</v>
      </c>
      <c r="C34" s="37"/>
      <c r="D34" s="38"/>
      <c r="E34" s="39"/>
      <c r="F34" s="37"/>
      <c r="G34" s="30"/>
      <c r="H34" s="6"/>
      <c r="I34" s="6"/>
      <c r="K34" s="6"/>
      <c r="L34" s="6"/>
      <c r="M34" s="6"/>
      <c r="N34" s="6"/>
      <c r="O34" s="6"/>
    </row>
    <row r="35" spans="2:15" s="5" customFormat="1" x14ac:dyDescent="0.3">
      <c r="B35" s="36" t="s">
        <v>12</v>
      </c>
      <c r="C35" s="37"/>
      <c r="D35" s="38"/>
      <c r="E35" s="39"/>
      <c r="F35" s="37"/>
      <c r="G35" s="30"/>
      <c r="H35" s="6"/>
      <c r="I35" s="6"/>
      <c r="K35" s="6"/>
      <c r="L35" s="6"/>
      <c r="M35" s="6"/>
      <c r="N35" s="6"/>
      <c r="O35" s="6"/>
    </row>
    <row r="36" spans="2:15" s="5" customFormat="1" x14ac:dyDescent="0.3">
      <c r="B36" s="36" t="s">
        <v>13</v>
      </c>
      <c r="C36" s="37"/>
      <c r="D36" s="38"/>
      <c r="E36" s="39"/>
      <c r="F36" s="37"/>
      <c r="G36" s="30"/>
      <c r="H36" s="6"/>
      <c r="I36" s="6"/>
      <c r="K36" s="6"/>
      <c r="L36" s="6"/>
      <c r="M36" s="6"/>
      <c r="N36" s="6"/>
      <c r="O36" s="6"/>
    </row>
    <row r="37" spans="2:15" x14ac:dyDescent="0.3">
      <c r="B37" s="36" t="s">
        <v>14</v>
      </c>
      <c r="C37" s="37"/>
      <c r="D37" s="38"/>
      <c r="E37" s="39"/>
      <c r="F37" s="37"/>
      <c r="G37" s="30"/>
    </row>
    <row r="38" spans="2:15" x14ac:dyDescent="0.3">
      <c r="B38" s="36" t="s">
        <v>15</v>
      </c>
      <c r="C38" s="37"/>
      <c r="D38" s="38"/>
      <c r="E38" s="39"/>
      <c r="F38" s="37"/>
      <c r="G38" s="30"/>
    </row>
    <row r="39" spans="2:15" ht="54" customHeight="1" x14ac:dyDescent="0.3">
      <c r="B39" s="36" t="s">
        <v>16</v>
      </c>
      <c r="C39" s="37"/>
      <c r="D39" s="84"/>
      <c r="E39" s="85"/>
      <c r="F39" s="86"/>
      <c r="G39" s="30"/>
    </row>
    <row r="40" spans="2:15" x14ac:dyDescent="0.3">
      <c r="B40" s="36" t="s">
        <v>17</v>
      </c>
      <c r="C40" s="37"/>
      <c r="D40" s="38"/>
      <c r="E40" s="39"/>
      <c r="F40" s="37"/>
      <c r="G40" s="30"/>
    </row>
    <row r="41" spans="2:15" x14ac:dyDescent="0.3">
      <c r="G41" s="30"/>
    </row>
    <row r="42" spans="2:15" x14ac:dyDescent="0.3">
      <c r="G42" s="30"/>
    </row>
    <row r="43" spans="2:15" x14ac:dyDescent="0.3">
      <c r="B43" s="40" t="s">
        <v>132</v>
      </c>
      <c r="C43" s="41" t="s">
        <v>31</v>
      </c>
      <c r="D43" s="41" t="s">
        <v>42</v>
      </c>
      <c r="E43" s="41" t="s">
        <v>3</v>
      </c>
      <c r="F43" s="41" t="s">
        <v>4</v>
      </c>
      <c r="G43" s="30"/>
    </row>
    <row r="44" spans="2:15" x14ac:dyDescent="0.3">
      <c r="B44" s="20" t="s">
        <v>131</v>
      </c>
      <c r="C44" s="42">
        <v>0</v>
      </c>
      <c r="D44" s="42">
        <v>66572</v>
      </c>
      <c r="E44" s="42">
        <v>0</v>
      </c>
      <c r="F44" s="42">
        <v>66572</v>
      </c>
      <c r="G44" s="17"/>
    </row>
    <row r="45" spans="2:15" x14ac:dyDescent="0.3">
      <c r="B45" s="20" t="s">
        <v>130</v>
      </c>
      <c r="C45" s="42">
        <v>0</v>
      </c>
      <c r="D45" s="42">
        <v>75795</v>
      </c>
      <c r="E45" s="42">
        <v>0</v>
      </c>
      <c r="F45" s="42">
        <v>75795</v>
      </c>
    </row>
    <row r="46" spans="2:15" x14ac:dyDescent="0.3">
      <c r="B46" s="20" t="s">
        <v>133</v>
      </c>
      <c r="C46" s="42">
        <v>0</v>
      </c>
      <c r="D46" s="42">
        <v>82687.199999999997</v>
      </c>
      <c r="E46" s="42">
        <v>0</v>
      </c>
      <c r="F46" s="42">
        <v>82687.199999999997</v>
      </c>
    </row>
    <row r="49" spans="2:15" x14ac:dyDescent="0.3">
      <c r="B49" s="43" t="s">
        <v>43</v>
      </c>
      <c r="I49" s="68" t="str">
        <f>"M1 Total : " &amp; TEXT(SUM(I50:J50),"0,000")</f>
        <v>M1 Total : 275,603</v>
      </c>
      <c r="J49" s="68"/>
      <c r="K49" s="68"/>
      <c r="L49" s="68"/>
    </row>
    <row r="50" spans="2:15" x14ac:dyDescent="0.3">
      <c r="H50" s="48"/>
      <c r="I50" s="68">
        <f>SUBTOTAL(9,I52:I5002)</f>
        <v>16169.710000000001</v>
      </c>
      <c r="J50" s="68">
        <f>SUBTOTAL(9,J52:J5002)</f>
        <v>259433.32999999996</v>
      </c>
      <c r="K50" s="68">
        <f>SUBTOTAL(9,K52:K5002)</f>
        <v>0</v>
      </c>
      <c r="L50" s="68">
        <f>SUBTOTAL(9,L52:L5002)</f>
        <v>275603.03999999998</v>
      </c>
    </row>
    <row r="51" spans="2:15" ht="28.8" x14ac:dyDescent="0.3">
      <c r="B51" s="44" t="s">
        <v>44</v>
      </c>
      <c r="C51" s="44" t="s">
        <v>19</v>
      </c>
      <c r="D51" s="44" t="s">
        <v>20</v>
      </c>
      <c r="E51" s="45" t="s">
        <v>21</v>
      </c>
      <c r="F51" s="44" t="s">
        <v>22</v>
      </c>
      <c r="G51" s="46" t="s">
        <v>23</v>
      </c>
      <c r="H51" s="45" t="s">
        <v>98</v>
      </c>
      <c r="I51" s="67" t="s">
        <v>24</v>
      </c>
      <c r="J51" s="67" t="s">
        <v>25</v>
      </c>
      <c r="K51" s="67" t="s">
        <v>26</v>
      </c>
      <c r="L51" s="67" t="s">
        <v>27</v>
      </c>
      <c r="M51" s="30"/>
      <c r="N51" s="30"/>
      <c r="O51" s="30"/>
    </row>
    <row r="52" spans="2:15" x14ac:dyDescent="0.3">
      <c r="B52" s="47" t="s">
        <v>117</v>
      </c>
      <c r="C52" s="6" t="s">
        <v>119</v>
      </c>
      <c r="D52" s="6" t="s">
        <v>169</v>
      </c>
      <c r="E52" s="48" t="s">
        <v>100</v>
      </c>
      <c r="F52" s="48" t="s">
        <v>102</v>
      </c>
      <c r="G52" s="5" t="s">
        <v>106</v>
      </c>
      <c r="H52" s="48">
        <v>45386</v>
      </c>
      <c r="I52" s="70">
        <v>810</v>
      </c>
      <c r="J52" s="71">
        <v>0</v>
      </c>
      <c r="K52" s="71">
        <v>0</v>
      </c>
      <c r="L52" s="71">
        <v>810</v>
      </c>
      <c r="M52" s="5"/>
      <c r="N52" s="5"/>
    </row>
    <row r="53" spans="2:15" x14ac:dyDescent="0.3">
      <c r="B53" s="6" t="s">
        <v>117</v>
      </c>
      <c r="C53" s="6" t="s">
        <v>119</v>
      </c>
      <c r="D53" s="6" t="s">
        <v>170</v>
      </c>
      <c r="E53" s="48" t="s">
        <v>103</v>
      </c>
      <c r="F53" s="48" t="s">
        <v>120</v>
      </c>
      <c r="G53" s="5" t="s">
        <v>105</v>
      </c>
      <c r="H53" s="48">
        <v>45475</v>
      </c>
      <c r="I53" s="70">
        <v>0</v>
      </c>
      <c r="J53" s="71">
        <v>2526</v>
      </c>
      <c r="K53" s="71">
        <v>0</v>
      </c>
      <c r="L53" s="71">
        <v>2526</v>
      </c>
      <c r="M53" s="5"/>
      <c r="N53" s="5"/>
    </row>
    <row r="54" spans="2:15" x14ac:dyDescent="0.3">
      <c r="B54" s="6" t="s">
        <v>117</v>
      </c>
      <c r="C54" s="6" t="s">
        <v>119</v>
      </c>
      <c r="D54" s="6" t="s">
        <v>171</v>
      </c>
      <c r="E54" s="48" t="s">
        <v>101</v>
      </c>
      <c r="F54" s="48" t="s">
        <v>121</v>
      </c>
      <c r="G54" s="5" t="s">
        <v>99</v>
      </c>
      <c r="H54" s="48">
        <v>45453</v>
      </c>
      <c r="I54" s="70">
        <v>0</v>
      </c>
      <c r="J54" s="71">
        <v>7949.03</v>
      </c>
      <c r="K54" s="71">
        <v>0</v>
      </c>
      <c r="L54" s="71">
        <v>7949.03</v>
      </c>
      <c r="M54" s="5"/>
      <c r="N54" s="5"/>
    </row>
    <row r="55" spans="2:15" x14ac:dyDescent="0.3">
      <c r="B55" s="6" t="s">
        <v>117</v>
      </c>
      <c r="C55" s="6" t="s">
        <v>119</v>
      </c>
      <c r="D55" s="6" t="s">
        <v>171</v>
      </c>
      <c r="E55" s="48" t="s">
        <v>101</v>
      </c>
      <c r="F55" s="48" t="s">
        <v>102</v>
      </c>
      <c r="G55" s="5" t="s">
        <v>99</v>
      </c>
      <c r="H55" s="48">
        <v>45471</v>
      </c>
      <c r="I55" s="70">
        <v>0</v>
      </c>
      <c r="J55" s="71">
        <v>183483.24</v>
      </c>
      <c r="K55" s="71">
        <v>0</v>
      </c>
      <c r="L55" s="71">
        <v>183483.24</v>
      </c>
      <c r="M55" s="5"/>
      <c r="N55" s="5"/>
    </row>
    <row r="56" spans="2:15" x14ac:dyDescent="0.3">
      <c r="B56" s="6" t="s">
        <v>117</v>
      </c>
      <c r="C56" s="6" t="s">
        <v>119</v>
      </c>
      <c r="D56" s="6" t="s">
        <v>172</v>
      </c>
      <c r="E56" s="48" t="s">
        <v>103</v>
      </c>
      <c r="F56" s="48" t="s">
        <v>122</v>
      </c>
      <c r="G56" s="5" t="s">
        <v>106</v>
      </c>
      <c r="H56" s="48">
        <v>45396</v>
      </c>
      <c r="I56" s="70">
        <v>0</v>
      </c>
      <c r="J56" s="71">
        <v>560.35</v>
      </c>
      <c r="K56" s="71">
        <v>0</v>
      </c>
      <c r="L56" s="71">
        <v>560.35</v>
      </c>
      <c r="M56" s="5"/>
      <c r="N56" s="5"/>
    </row>
    <row r="57" spans="2:15" x14ac:dyDescent="0.3">
      <c r="B57" s="6" t="s">
        <v>117</v>
      </c>
      <c r="C57" s="6" t="s">
        <v>119</v>
      </c>
      <c r="D57" s="6" t="s">
        <v>172</v>
      </c>
      <c r="E57" s="48" t="s">
        <v>100</v>
      </c>
      <c r="F57" s="48" t="s">
        <v>102</v>
      </c>
      <c r="G57" s="5" t="s">
        <v>110</v>
      </c>
      <c r="H57" s="48">
        <v>45534</v>
      </c>
      <c r="I57" s="71">
        <v>0</v>
      </c>
      <c r="J57" s="71">
        <v>6804</v>
      </c>
      <c r="K57" s="71">
        <v>0</v>
      </c>
      <c r="L57" s="71">
        <v>6804</v>
      </c>
      <c r="M57" s="5"/>
      <c r="N57" s="5"/>
    </row>
    <row r="58" spans="2:15" x14ac:dyDescent="0.3">
      <c r="B58" s="6" t="s">
        <v>117</v>
      </c>
      <c r="C58" s="6" t="s">
        <v>119</v>
      </c>
      <c r="D58" s="6" t="s">
        <v>172</v>
      </c>
      <c r="E58" s="48" t="s">
        <v>100</v>
      </c>
      <c r="F58" s="48" t="s">
        <v>102</v>
      </c>
      <c r="G58" s="5" t="s">
        <v>110</v>
      </c>
      <c r="H58" s="48">
        <v>45558</v>
      </c>
      <c r="I58" s="71">
        <v>486</v>
      </c>
      <c r="J58" s="71">
        <v>0</v>
      </c>
      <c r="K58" s="71">
        <v>0</v>
      </c>
      <c r="L58" s="71">
        <v>486</v>
      </c>
      <c r="M58" s="5"/>
      <c r="N58" s="5"/>
    </row>
    <row r="59" spans="2:15" x14ac:dyDescent="0.3">
      <c r="B59" s="6" t="s">
        <v>117</v>
      </c>
      <c r="C59" s="6" t="s">
        <v>119</v>
      </c>
      <c r="D59" s="6" t="s">
        <v>172</v>
      </c>
      <c r="E59" s="48" t="s">
        <v>100</v>
      </c>
      <c r="F59" s="48" t="s">
        <v>102</v>
      </c>
      <c r="G59" s="5" t="s">
        <v>110</v>
      </c>
      <c r="H59" s="48">
        <v>45559</v>
      </c>
      <c r="I59" s="71">
        <v>486</v>
      </c>
      <c r="J59" s="71">
        <v>0</v>
      </c>
      <c r="K59" s="71">
        <v>0</v>
      </c>
      <c r="L59" s="71">
        <v>486</v>
      </c>
      <c r="M59" s="5"/>
      <c r="N59" s="5"/>
    </row>
    <row r="60" spans="2:15" x14ac:dyDescent="0.3">
      <c r="B60" s="6" t="s">
        <v>117</v>
      </c>
      <c r="C60" s="6" t="s">
        <v>119</v>
      </c>
      <c r="D60" s="6" t="s">
        <v>173</v>
      </c>
      <c r="E60" s="48" t="s">
        <v>103</v>
      </c>
      <c r="F60" s="48" t="s">
        <v>123</v>
      </c>
      <c r="G60" s="5" t="s">
        <v>110</v>
      </c>
      <c r="H60" s="48">
        <v>45558</v>
      </c>
      <c r="I60" s="71">
        <v>0</v>
      </c>
      <c r="J60" s="71">
        <v>35088.83</v>
      </c>
      <c r="K60" s="71">
        <v>0</v>
      </c>
      <c r="L60" s="71">
        <v>35088.83</v>
      </c>
      <c r="M60" s="5"/>
      <c r="N60" s="5"/>
    </row>
    <row r="61" spans="2:15" x14ac:dyDescent="0.3">
      <c r="B61" s="6" t="s">
        <v>117</v>
      </c>
      <c r="C61" s="6" t="s">
        <v>119</v>
      </c>
      <c r="D61" s="6" t="s">
        <v>174</v>
      </c>
      <c r="E61" s="48" t="s">
        <v>103</v>
      </c>
      <c r="F61" s="48" t="s">
        <v>124</v>
      </c>
      <c r="G61" s="5" t="s">
        <v>104</v>
      </c>
      <c r="H61" s="48">
        <v>45411</v>
      </c>
      <c r="I61" s="70">
        <v>0</v>
      </c>
      <c r="J61" s="71">
        <v>1564.2</v>
      </c>
      <c r="K61" s="71">
        <v>0</v>
      </c>
      <c r="L61" s="71">
        <v>1564.2</v>
      </c>
      <c r="M61" s="5"/>
      <c r="N61" s="5"/>
    </row>
    <row r="62" spans="2:15" x14ac:dyDescent="0.3">
      <c r="B62" s="6" t="s">
        <v>117</v>
      </c>
      <c r="C62" s="6" t="s">
        <v>119</v>
      </c>
      <c r="D62" s="6" t="s">
        <v>174</v>
      </c>
      <c r="E62" s="48" t="s">
        <v>101</v>
      </c>
      <c r="F62" s="48" t="s">
        <v>125</v>
      </c>
      <c r="G62" s="5" t="s">
        <v>106</v>
      </c>
      <c r="H62" s="48">
        <v>45403</v>
      </c>
      <c r="I62" s="70">
        <v>0</v>
      </c>
      <c r="J62" s="71">
        <v>19.649999999999999</v>
      </c>
      <c r="K62" s="71">
        <v>0</v>
      </c>
      <c r="L62" s="71">
        <v>19.649999999999999</v>
      </c>
      <c r="M62" s="5"/>
      <c r="N62" s="5"/>
    </row>
    <row r="63" spans="2:15" x14ac:dyDescent="0.3">
      <c r="B63" s="6" t="s">
        <v>117</v>
      </c>
      <c r="C63" s="6" t="s">
        <v>119</v>
      </c>
      <c r="D63" s="6" t="s">
        <v>174</v>
      </c>
      <c r="E63" s="48" t="s">
        <v>101</v>
      </c>
      <c r="F63" s="48" t="s">
        <v>125</v>
      </c>
      <c r="G63" s="5" t="s">
        <v>110</v>
      </c>
      <c r="H63" s="48">
        <v>45555</v>
      </c>
      <c r="I63" s="70">
        <v>0</v>
      </c>
      <c r="J63" s="71">
        <v>14541</v>
      </c>
      <c r="K63" s="71">
        <v>0</v>
      </c>
      <c r="L63" s="71">
        <v>14541</v>
      </c>
      <c r="M63" s="5"/>
      <c r="N63" s="5"/>
    </row>
    <row r="64" spans="2:15" x14ac:dyDescent="0.3">
      <c r="B64" s="6" t="s">
        <v>117</v>
      </c>
      <c r="C64" s="6" t="s">
        <v>119</v>
      </c>
      <c r="D64" s="6" t="s">
        <v>174</v>
      </c>
      <c r="E64" s="48" t="s">
        <v>103</v>
      </c>
      <c r="F64" s="48" t="s">
        <v>126</v>
      </c>
      <c r="G64" s="5" t="s">
        <v>99</v>
      </c>
      <c r="H64" s="48">
        <v>45447</v>
      </c>
      <c r="I64" s="70">
        <v>0</v>
      </c>
      <c r="J64" s="71">
        <v>200.95000000000002</v>
      </c>
      <c r="K64" s="71">
        <v>0</v>
      </c>
      <c r="L64" s="71">
        <v>200.95000000000002</v>
      </c>
      <c r="M64" s="5"/>
      <c r="N64" s="5"/>
    </row>
    <row r="65" spans="2:14" x14ac:dyDescent="0.3">
      <c r="B65" s="6" t="s">
        <v>117</v>
      </c>
      <c r="C65" s="6" t="s">
        <v>119</v>
      </c>
      <c r="D65" s="6" t="s">
        <v>174</v>
      </c>
      <c r="E65" s="48" t="s">
        <v>100</v>
      </c>
      <c r="F65" s="48" t="s">
        <v>102</v>
      </c>
      <c r="G65" s="5" t="s">
        <v>105</v>
      </c>
      <c r="H65" s="48">
        <v>45482</v>
      </c>
      <c r="I65" s="70">
        <v>891</v>
      </c>
      <c r="J65" s="71">
        <v>0</v>
      </c>
      <c r="K65" s="71">
        <v>0</v>
      </c>
      <c r="L65" s="71">
        <v>891</v>
      </c>
      <c r="M65" s="5"/>
      <c r="N65" s="5"/>
    </row>
    <row r="66" spans="2:14" x14ac:dyDescent="0.3">
      <c r="B66" s="6" t="s">
        <v>117</v>
      </c>
      <c r="C66" s="6" t="s">
        <v>119</v>
      </c>
      <c r="D66" s="6" t="s">
        <v>174</v>
      </c>
      <c r="E66" s="48" t="s">
        <v>103</v>
      </c>
      <c r="F66" s="48" t="s">
        <v>127</v>
      </c>
      <c r="G66" s="5" t="s">
        <v>104</v>
      </c>
      <c r="H66" s="48">
        <v>45428</v>
      </c>
      <c r="I66" s="70">
        <v>0</v>
      </c>
      <c r="J66" s="71">
        <v>572</v>
      </c>
      <c r="K66" s="71">
        <v>0</v>
      </c>
      <c r="L66" s="71">
        <v>572</v>
      </c>
      <c r="M66" s="5"/>
      <c r="N66" s="5"/>
    </row>
    <row r="67" spans="2:14" x14ac:dyDescent="0.3">
      <c r="B67" s="6" t="s">
        <v>117</v>
      </c>
      <c r="C67" s="6" t="s">
        <v>119</v>
      </c>
      <c r="D67" s="6" t="s">
        <v>174</v>
      </c>
      <c r="E67" s="48" t="s">
        <v>103</v>
      </c>
      <c r="F67" s="48" t="s">
        <v>128</v>
      </c>
      <c r="G67" s="5" t="s">
        <v>104</v>
      </c>
      <c r="H67" s="48">
        <v>45434</v>
      </c>
      <c r="I67" s="70">
        <v>0</v>
      </c>
      <c r="J67" s="71">
        <v>1685.28</v>
      </c>
      <c r="K67" s="71">
        <v>0</v>
      </c>
      <c r="L67" s="71">
        <v>1685.28</v>
      </c>
      <c r="M67" s="5"/>
      <c r="N67" s="5"/>
    </row>
    <row r="68" spans="2:14" x14ac:dyDescent="0.3">
      <c r="B68" s="6" t="s">
        <v>117</v>
      </c>
      <c r="C68" s="6" t="s">
        <v>119</v>
      </c>
      <c r="D68" s="6" t="s">
        <v>175</v>
      </c>
      <c r="E68" s="48" t="s">
        <v>101</v>
      </c>
      <c r="F68" s="48" t="s">
        <v>102</v>
      </c>
      <c r="G68" s="5" t="s">
        <v>106</v>
      </c>
      <c r="H68" s="48">
        <v>45390</v>
      </c>
      <c r="I68" s="70">
        <v>0</v>
      </c>
      <c r="J68" s="71">
        <v>16.8</v>
      </c>
      <c r="K68" s="71">
        <v>0</v>
      </c>
      <c r="L68" s="71">
        <v>16.8</v>
      </c>
      <c r="M68" s="5"/>
      <c r="N68" s="5"/>
    </row>
    <row r="69" spans="2:14" x14ac:dyDescent="0.3">
      <c r="B69" s="6" t="s">
        <v>117</v>
      </c>
      <c r="C69" s="6" t="s">
        <v>119</v>
      </c>
      <c r="D69" s="6" t="s">
        <v>175</v>
      </c>
      <c r="E69" s="48" t="s">
        <v>101</v>
      </c>
      <c r="F69" s="48" t="s">
        <v>102</v>
      </c>
      <c r="G69" s="5" t="s">
        <v>104</v>
      </c>
      <c r="H69" s="48">
        <v>45420</v>
      </c>
      <c r="I69" s="70">
        <v>0</v>
      </c>
      <c r="J69" s="71">
        <v>16.8</v>
      </c>
      <c r="K69" s="71">
        <v>0</v>
      </c>
      <c r="L69" s="71">
        <v>16.8</v>
      </c>
      <c r="M69" s="5"/>
      <c r="N69" s="5"/>
    </row>
    <row r="70" spans="2:14" x14ac:dyDescent="0.3">
      <c r="B70" s="6" t="s">
        <v>117</v>
      </c>
      <c r="C70" s="6" t="s">
        <v>119</v>
      </c>
      <c r="D70" s="6" t="s">
        <v>175</v>
      </c>
      <c r="E70" s="48" t="s">
        <v>101</v>
      </c>
      <c r="F70" s="48" t="s">
        <v>102</v>
      </c>
      <c r="G70" s="5" t="s">
        <v>99</v>
      </c>
      <c r="H70" s="48">
        <v>45453</v>
      </c>
      <c r="I70" s="70">
        <v>0</v>
      </c>
      <c r="J70" s="71">
        <v>16.8</v>
      </c>
      <c r="K70" s="71">
        <v>0</v>
      </c>
      <c r="L70" s="71">
        <v>16.8</v>
      </c>
      <c r="M70" s="5"/>
      <c r="N70" s="5"/>
    </row>
    <row r="71" spans="2:14" x14ac:dyDescent="0.3">
      <c r="B71" s="6" t="s">
        <v>117</v>
      </c>
      <c r="C71" s="6" t="s">
        <v>119</v>
      </c>
      <c r="D71" s="6" t="s">
        <v>175</v>
      </c>
      <c r="E71" s="48" t="s">
        <v>101</v>
      </c>
      <c r="F71" s="48" t="s">
        <v>102</v>
      </c>
      <c r="G71" s="5" t="s">
        <v>105</v>
      </c>
      <c r="H71" s="48">
        <v>45481</v>
      </c>
      <c r="I71" s="70">
        <v>0</v>
      </c>
      <c r="J71" s="71">
        <v>16.8</v>
      </c>
      <c r="K71" s="71">
        <v>0</v>
      </c>
      <c r="L71" s="71">
        <v>16.8</v>
      </c>
      <c r="M71" s="5"/>
      <c r="N71" s="5"/>
    </row>
    <row r="72" spans="2:14" x14ac:dyDescent="0.3">
      <c r="B72" s="6" t="s">
        <v>117</v>
      </c>
      <c r="C72" s="6" t="s">
        <v>119</v>
      </c>
      <c r="D72" s="6" t="s">
        <v>175</v>
      </c>
      <c r="E72" s="48" t="s">
        <v>101</v>
      </c>
      <c r="F72" s="48" t="s">
        <v>102</v>
      </c>
      <c r="G72" s="5" t="s">
        <v>107</v>
      </c>
      <c r="H72" s="48">
        <v>45511</v>
      </c>
      <c r="I72" s="70">
        <v>0</v>
      </c>
      <c r="J72" s="71">
        <v>28.8</v>
      </c>
      <c r="K72" s="71">
        <v>0</v>
      </c>
      <c r="L72" s="71">
        <v>28.8</v>
      </c>
      <c r="M72" s="5"/>
      <c r="N72" s="5"/>
    </row>
    <row r="73" spans="2:14" x14ac:dyDescent="0.3">
      <c r="B73" s="6" t="s">
        <v>117</v>
      </c>
      <c r="C73" s="6" t="s">
        <v>119</v>
      </c>
      <c r="D73" s="6" t="s">
        <v>175</v>
      </c>
      <c r="E73" s="48" t="s">
        <v>101</v>
      </c>
      <c r="F73" s="48" t="s">
        <v>102</v>
      </c>
      <c r="G73" s="5" t="s">
        <v>107</v>
      </c>
      <c r="H73" s="48">
        <v>45512</v>
      </c>
      <c r="I73" s="70">
        <v>0</v>
      </c>
      <c r="J73" s="71">
        <v>16.8</v>
      </c>
      <c r="K73" s="71">
        <v>0</v>
      </c>
      <c r="L73" s="71">
        <v>16.8</v>
      </c>
      <c r="M73" s="5"/>
      <c r="N73" s="5"/>
    </row>
    <row r="74" spans="2:14" x14ac:dyDescent="0.3">
      <c r="B74" s="6" t="s">
        <v>117</v>
      </c>
      <c r="C74" s="6" t="s">
        <v>119</v>
      </c>
      <c r="D74" s="6" t="s">
        <v>175</v>
      </c>
      <c r="E74" s="48" t="s">
        <v>101</v>
      </c>
      <c r="F74" s="48" t="s">
        <v>102</v>
      </c>
      <c r="G74" s="5" t="s">
        <v>110</v>
      </c>
      <c r="H74" s="48">
        <v>45543</v>
      </c>
      <c r="I74" s="70">
        <v>0</v>
      </c>
      <c r="J74" s="71">
        <v>16.8</v>
      </c>
      <c r="K74" s="71">
        <v>0</v>
      </c>
      <c r="L74" s="71">
        <v>16.8</v>
      </c>
      <c r="M74" s="5"/>
      <c r="N74" s="5"/>
    </row>
    <row r="75" spans="2:14" x14ac:dyDescent="0.3">
      <c r="B75" s="6" t="s">
        <v>117</v>
      </c>
      <c r="C75" s="6" t="s">
        <v>119</v>
      </c>
      <c r="D75" s="6" t="s">
        <v>175</v>
      </c>
      <c r="E75" s="48" t="s">
        <v>103</v>
      </c>
      <c r="F75" s="48" t="s">
        <v>129</v>
      </c>
      <c r="G75" s="5" t="s">
        <v>99</v>
      </c>
      <c r="H75" s="48">
        <v>45471</v>
      </c>
      <c r="I75" s="70">
        <v>0</v>
      </c>
      <c r="J75" s="71">
        <v>3402</v>
      </c>
      <c r="K75" s="71">
        <v>0</v>
      </c>
      <c r="L75" s="71">
        <v>3402</v>
      </c>
      <c r="M75" s="5"/>
      <c r="N75" s="5"/>
    </row>
    <row r="76" spans="2:14" x14ac:dyDescent="0.3">
      <c r="B76" s="6" t="s">
        <v>117</v>
      </c>
      <c r="C76" s="6" t="s">
        <v>119</v>
      </c>
      <c r="D76" s="6" t="s">
        <v>175</v>
      </c>
      <c r="E76" s="48" t="s">
        <v>103</v>
      </c>
      <c r="F76" s="48" t="s">
        <v>129</v>
      </c>
      <c r="G76" s="5" t="s">
        <v>99</v>
      </c>
      <c r="H76" s="48">
        <v>45471</v>
      </c>
      <c r="I76" s="70">
        <v>0</v>
      </c>
      <c r="J76" s="71">
        <v>907.2</v>
      </c>
      <c r="K76" s="71">
        <v>0</v>
      </c>
      <c r="L76" s="71">
        <v>907.2</v>
      </c>
      <c r="M76" s="5"/>
      <c r="N76" s="5"/>
    </row>
    <row r="77" spans="2:14" x14ac:dyDescent="0.3">
      <c r="B77" s="6" t="s">
        <v>117</v>
      </c>
      <c r="C77" s="6" t="s">
        <v>119</v>
      </c>
      <c r="D77" s="6" t="s">
        <v>175</v>
      </c>
      <c r="E77" s="48" t="s">
        <v>100</v>
      </c>
      <c r="F77" s="48" t="s">
        <v>102</v>
      </c>
      <c r="G77" s="5" t="s">
        <v>104</v>
      </c>
      <c r="H77" s="48">
        <v>45411</v>
      </c>
      <c r="I77" s="70">
        <v>2355.7600000000002</v>
      </c>
      <c r="J77" s="71">
        <v>0</v>
      </c>
      <c r="K77" s="71">
        <v>0</v>
      </c>
      <c r="L77" s="71">
        <v>2355.7600000000002</v>
      </c>
      <c r="M77" s="5"/>
      <c r="N77" s="5"/>
    </row>
    <row r="78" spans="2:14" x14ac:dyDescent="0.3">
      <c r="B78" s="6" t="s">
        <v>117</v>
      </c>
      <c r="C78" s="6" t="s">
        <v>119</v>
      </c>
      <c r="D78" s="6" t="s">
        <v>175</v>
      </c>
      <c r="E78" s="48" t="s">
        <v>100</v>
      </c>
      <c r="F78" s="48" t="s">
        <v>102</v>
      </c>
      <c r="G78" s="5" t="s">
        <v>99</v>
      </c>
      <c r="H78" s="48">
        <v>45441</v>
      </c>
      <c r="I78" s="70">
        <v>2288.4899999999998</v>
      </c>
      <c r="J78" s="71">
        <v>0</v>
      </c>
      <c r="K78" s="71">
        <v>0</v>
      </c>
      <c r="L78" s="71">
        <v>2288.4899999999998</v>
      </c>
      <c r="M78" s="5"/>
      <c r="N78" s="5"/>
    </row>
    <row r="79" spans="2:14" x14ac:dyDescent="0.3">
      <c r="B79" s="6" t="s">
        <v>117</v>
      </c>
      <c r="C79" s="6" t="s">
        <v>119</v>
      </c>
      <c r="D79" s="6" t="s">
        <v>175</v>
      </c>
      <c r="E79" s="48" t="s">
        <v>100</v>
      </c>
      <c r="F79" s="48" t="s">
        <v>102</v>
      </c>
      <c r="G79" s="5" t="s">
        <v>99</v>
      </c>
      <c r="H79" s="48">
        <v>45456</v>
      </c>
      <c r="I79" s="70">
        <v>2364.0100000000002</v>
      </c>
      <c r="J79" s="71">
        <v>0</v>
      </c>
      <c r="K79" s="71">
        <v>0</v>
      </c>
      <c r="L79" s="71">
        <v>2364.0100000000002</v>
      </c>
      <c r="M79" s="5"/>
      <c r="N79" s="5"/>
    </row>
    <row r="80" spans="2:14" x14ac:dyDescent="0.3">
      <c r="B80" s="6" t="s">
        <v>117</v>
      </c>
      <c r="C80" s="6" t="s">
        <v>119</v>
      </c>
      <c r="D80" s="6" t="s">
        <v>175</v>
      </c>
      <c r="E80" s="48" t="s">
        <v>100</v>
      </c>
      <c r="F80" s="48" t="s">
        <v>102</v>
      </c>
      <c r="G80" s="5" t="s">
        <v>107</v>
      </c>
      <c r="H80" s="48">
        <v>45501</v>
      </c>
      <c r="I80" s="70">
        <v>1864.93</v>
      </c>
      <c r="J80" s="71">
        <v>0</v>
      </c>
      <c r="K80" s="71">
        <v>0</v>
      </c>
      <c r="L80" s="71">
        <v>1864.93</v>
      </c>
      <c r="M80" s="5"/>
      <c r="N80" s="5"/>
    </row>
    <row r="81" spans="2:14" x14ac:dyDescent="0.3">
      <c r="B81" s="6" t="s">
        <v>117</v>
      </c>
      <c r="C81" s="6" t="s">
        <v>119</v>
      </c>
      <c r="D81" s="6" t="s">
        <v>175</v>
      </c>
      <c r="E81" s="48" t="s">
        <v>100</v>
      </c>
      <c r="F81" s="48" t="s">
        <v>102</v>
      </c>
      <c r="G81" s="5" t="s">
        <v>107</v>
      </c>
      <c r="H81" s="48">
        <v>45525</v>
      </c>
      <c r="I81" s="70">
        <v>1902.44</v>
      </c>
      <c r="J81" s="71">
        <v>0</v>
      </c>
      <c r="K81" s="71">
        <v>0</v>
      </c>
      <c r="L81" s="71">
        <v>1902.44</v>
      </c>
      <c r="M81" s="5"/>
      <c r="N81" s="5"/>
    </row>
    <row r="82" spans="2:14" x14ac:dyDescent="0.3">
      <c r="B82" s="6" t="s">
        <v>117</v>
      </c>
      <c r="C82" s="6" t="s">
        <v>119</v>
      </c>
      <c r="D82" s="6" t="s">
        <v>175</v>
      </c>
      <c r="E82" s="48" t="s">
        <v>100</v>
      </c>
      <c r="F82" s="48" t="s">
        <v>102</v>
      </c>
      <c r="G82" s="5" t="s">
        <v>110</v>
      </c>
      <c r="H82" s="48">
        <v>45555</v>
      </c>
      <c r="I82" s="70">
        <v>1911.08</v>
      </c>
      <c r="J82" s="71">
        <v>0</v>
      </c>
      <c r="K82" s="71">
        <v>0</v>
      </c>
      <c r="L82" s="71">
        <v>1911.08</v>
      </c>
      <c r="M82" s="5"/>
      <c r="N82" s="5"/>
    </row>
    <row r="83" spans="2:14" x14ac:dyDescent="0.3">
      <c r="B83" s="6" t="s">
        <v>117</v>
      </c>
      <c r="C83" s="6" t="s">
        <v>119</v>
      </c>
      <c r="D83" s="6" t="s">
        <v>175</v>
      </c>
      <c r="E83" s="48" t="s">
        <v>100</v>
      </c>
      <c r="F83" s="48" t="s">
        <v>102</v>
      </c>
      <c r="G83" s="5" t="s">
        <v>104</v>
      </c>
      <c r="H83" s="48">
        <v>45415</v>
      </c>
      <c r="I83" s="70">
        <v>324</v>
      </c>
      <c r="J83" s="71">
        <v>0</v>
      </c>
      <c r="K83" s="71">
        <v>0</v>
      </c>
      <c r="L83" s="71">
        <v>324</v>
      </c>
      <c r="M83" s="5"/>
      <c r="N83" s="5"/>
    </row>
    <row r="84" spans="2:14" x14ac:dyDescent="0.3">
      <c r="B84" s="6" t="s">
        <v>117</v>
      </c>
      <c r="C84" s="6" t="s">
        <v>119</v>
      </c>
      <c r="D84" s="6" t="s">
        <v>175</v>
      </c>
      <c r="E84" s="48" t="s">
        <v>100</v>
      </c>
      <c r="F84" s="48" t="s">
        <v>102</v>
      </c>
      <c r="G84" s="5" t="s">
        <v>107</v>
      </c>
      <c r="H84" s="48">
        <v>45509</v>
      </c>
      <c r="I84" s="70">
        <v>486</v>
      </c>
      <c r="J84" s="71">
        <v>0</v>
      </c>
      <c r="K84" s="71">
        <v>0</v>
      </c>
      <c r="L84" s="71">
        <v>486</v>
      </c>
      <c r="M84" s="5"/>
      <c r="N84" s="5"/>
    </row>
    <row r="85" spans="2:14" x14ac:dyDescent="0.3">
      <c r="E85" s="48"/>
      <c r="F85" s="48"/>
      <c r="H85" s="48"/>
      <c r="I85" s="70"/>
      <c r="J85" s="71"/>
      <c r="K85" s="71"/>
      <c r="L85" s="71"/>
      <c r="M85" s="5"/>
      <c r="N85" s="5"/>
    </row>
    <row r="86" spans="2:14" x14ac:dyDescent="0.3">
      <c r="E86" s="48"/>
      <c r="F86" s="48"/>
      <c r="H86" s="48"/>
      <c r="I86" s="70"/>
      <c r="J86" s="71"/>
      <c r="K86" s="71"/>
      <c r="L86" s="71"/>
      <c r="M86" s="5"/>
      <c r="N86" s="5"/>
    </row>
    <row r="87" spans="2:14" x14ac:dyDescent="0.3">
      <c r="E87" s="48"/>
      <c r="F87" s="48"/>
      <c r="H87" s="48"/>
      <c r="I87" s="70"/>
      <c r="J87" s="71"/>
      <c r="K87" s="71"/>
      <c r="L87" s="71"/>
      <c r="M87" s="5"/>
      <c r="N87" s="5"/>
    </row>
    <row r="88" spans="2:14" x14ac:dyDescent="0.3">
      <c r="E88" s="48"/>
      <c r="F88" s="48"/>
      <c r="H88" s="48"/>
      <c r="I88" s="70"/>
      <c r="J88" s="71"/>
      <c r="K88" s="71"/>
      <c r="L88" s="71"/>
      <c r="M88" s="5"/>
      <c r="N88" s="5"/>
    </row>
    <row r="89" spans="2:14" x14ac:dyDescent="0.3">
      <c r="E89" s="48"/>
      <c r="F89" s="48"/>
      <c r="H89" s="48"/>
      <c r="I89" s="70"/>
      <c r="J89" s="71"/>
      <c r="K89" s="71"/>
      <c r="L89" s="71"/>
      <c r="M89" s="5"/>
      <c r="N89" s="5"/>
    </row>
    <row r="90" spans="2:14" x14ac:dyDescent="0.3">
      <c r="E90" s="48"/>
      <c r="F90" s="48"/>
      <c r="H90" s="48"/>
      <c r="I90" s="70"/>
      <c r="J90" s="71"/>
      <c r="K90" s="71"/>
      <c r="L90" s="71"/>
      <c r="M90" s="5"/>
      <c r="N90" s="5"/>
    </row>
    <row r="91" spans="2:14" x14ac:dyDescent="0.3">
      <c r="E91" s="48"/>
      <c r="F91" s="48"/>
      <c r="H91" s="48"/>
      <c r="I91" s="70"/>
      <c r="J91" s="71"/>
      <c r="K91" s="71"/>
      <c r="L91" s="71"/>
      <c r="M91" s="5"/>
      <c r="N91" s="5"/>
    </row>
    <row r="92" spans="2:14" x14ac:dyDescent="0.3">
      <c r="E92" s="48"/>
      <c r="F92" s="48"/>
      <c r="H92" s="48"/>
      <c r="I92" s="70"/>
      <c r="J92" s="71"/>
      <c r="K92" s="71"/>
      <c r="L92" s="71"/>
      <c r="M92" s="5"/>
      <c r="N92" s="5"/>
    </row>
    <row r="93" spans="2:14" x14ac:dyDescent="0.3">
      <c r="E93" s="48"/>
      <c r="F93" s="48"/>
      <c r="H93" s="48"/>
      <c r="I93" s="70"/>
      <c r="J93" s="71"/>
      <c r="K93" s="71"/>
      <c r="L93" s="71"/>
      <c r="M93" s="5"/>
      <c r="N93" s="5"/>
    </row>
    <row r="94" spans="2:14" x14ac:dyDescent="0.3">
      <c r="E94" s="48"/>
      <c r="F94" s="48"/>
      <c r="H94" s="48"/>
      <c r="I94" s="70"/>
      <c r="J94" s="71"/>
      <c r="K94" s="71"/>
      <c r="L94" s="71"/>
      <c r="M94" s="5"/>
      <c r="N94" s="5"/>
    </row>
    <row r="95" spans="2:14" x14ac:dyDescent="0.3">
      <c r="E95" s="48"/>
      <c r="F95" s="48"/>
      <c r="H95" s="48"/>
      <c r="I95" s="70"/>
      <c r="J95" s="71"/>
      <c r="K95" s="71"/>
      <c r="L95" s="71"/>
      <c r="M95" s="5"/>
      <c r="N95" s="5"/>
    </row>
    <row r="96" spans="2:14" x14ac:dyDescent="0.3">
      <c r="E96" s="48"/>
      <c r="F96" s="48"/>
      <c r="H96" s="48"/>
      <c r="I96" s="70"/>
      <c r="J96" s="71"/>
      <c r="K96" s="71"/>
      <c r="L96" s="71"/>
      <c r="M96" s="5"/>
      <c r="N96" s="5"/>
    </row>
    <row r="97" spans="5:14" x14ac:dyDescent="0.3">
      <c r="E97" s="48"/>
      <c r="F97" s="48"/>
      <c r="H97" s="48"/>
      <c r="I97" s="70"/>
      <c r="J97" s="71"/>
      <c r="K97" s="71"/>
      <c r="L97" s="71"/>
      <c r="M97" s="5"/>
      <c r="N97" s="5"/>
    </row>
    <row r="98" spans="5:14" x14ac:dyDescent="0.3">
      <c r="E98" s="48"/>
      <c r="F98" s="48"/>
      <c r="H98" s="48"/>
      <c r="I98" s="70"/>
      <c r="J98" s="71"/>
      <c r="K98" s="71"/>
      <c r="L98" s="71"/>
      <c r="M98" s="5"/>
      <c r="N98" s="5"/>
    </row>
    <row r="99" spans="5:14" x14ac:dyDescent="0.3">
      <c r="E99" s="48"/>
      <c r="F99" s="48"/>
      <c r="H99" s="48"/>
      <c r="I99" s="70"/>
      <c r="J99" s="71"/>
      <c r="K99" s="71"/>
      <c r="L99" s="71"/>
      <c r="M99" s="5"/>
      <c r="N99" s="5"/>
    </row>
    <row r="100" spans="5:14" x14ac:dyDescent="0.3">
      <c r="E100" s="48"/>
      <c r="F100" s="48"/>
      <c r="H100" s="48"/>
      <c r="I100" s="70"/>
      <c r="J100" s="71"/>
      <c r="K100" s="71"/>
      <c r="L100" s="71"/>
      <c r="M100" s="5"/>
      <c r="N100" s="5"/>
    </row>
    <row r="101" spans="5:14" x14ac:dyDescent="0.3">
      <c r="E101" s="48"/>
      <c r="F101" s="48"/>
      <c r="H101" s="48"/>
      <c r="I101" s="70"/>
      <c r="J101" s="71"/>
      <c r="K101" s="71"/>
      <c r="L101" s="71"/>
      <c r="M101" s="5"/>
      <c r="N101" s="5"/>
    </row>
    <row r="102" spans="5:14" x14ac:dyDescent="0.3">
      <c r="E102" s="48"/>
      <c r="F102" s="48"/>
      <c r="H102" s="48"/>
      <c r="I102" s="70"/>
      <c r="J102" s="71"/>
      <c r="K102" s="71"/>
      <c r="L102" s="71"/>
      <c r="M102" s="5"/>
      <c r="N102" s="5"/>
    </row>
    <row r="103" spans="5:14" x14ac:dyDescent="0.3">
      <c r="E103" s="48"/>
      <c r="F103" s="48"/>
      <c r="H103" s="48"/>
      <c r="I103" s="70"/>
      <c r="J103" s="71"/>
      <c r="K103" s="71"/>
      <c r="L103" s="71"/>
      <c r="M103" s="5"/>
      <c r="N103" s="5"/>
    </row>
    <row r="104" spans="5:14" x14ac:dyDescent="0.3">
      <c r="E104" s="48"/>
      <c r="F104" s="48"/>
      <c r="H104" s="48"/>
      <c r="I104" s="70"/>
      <c r="J104" s="71"/>
      <c r="K104" s="71"/>
      <c r="L104" s="71"/>
      <c r="M104" s="5"/>
      <c r="N104" s="5"/>
    </row>
    <row r="105" spans="5:14" x14ac:dyDescent="0.3">
      <c r="E105" s="48"/>
      <c r="F105" s="48"/>
      <c r="H105" s="48"/>
      <c r="I105" s="70"/>
      <c r="J105" s="71"/>
      <c r="K105" s="71"/>
      <c r="L105" s="71"/>
      <c r="M105" s="5"/>
      <c r="N105" s="5"/>
    </row>
    <row r="106" spans="5:14" x14ac:dyDescent="0.3">
      <c r="E106" s="48"/>
      <c r="F106" s="48"/>
      <c r="H106" s="48"/>
      <c r="I106" s="70"/>
      <c r="J106" s="71"/>
      <c r="K106" s="71"/>
      <c r="L106" s="71"/>
      <c r="M106" s="5"/>
      <c r="N106" s="5"/>
    </row>
    <row r="107" spans="5:14" x14ac:dyDescent="0.3">
      <c r="E107" s="48"/>
      <c r="F107" s="48"/>
      <c r="H107" s="48"/>
      <c r="I107" s="70"/>
      <c r="J107" s="71"/>
      <c r="K107" s="71"/>
      <c r="L107" s="71"/>
      <c r="M107" s="5"/>
      <c r="N107" s="5"/>
    </row>
    <row r="108" spans="5:14" x14ac:dyDescent="0.3">
      <c r="E108" s="48"/>
      <c r="F108" s="48"/>
      <c r="H108" s="48"/>
      <c r="I108" s="70"/>
      <c r="J108" s="71"/>
      <c r="K108" s="71"/>
      <c r="L108" s="71"/>
      <c r="M108" s="5"/>
      <c r="N108" s="5"/>
    </row>
    <row r="109" spans="5:14" x14ac:dyDescent="0.3">
      <c r="E109" s="48"/>
      <c r="F109" s="48"/>
      <c r="H109" s="48"/>
      <c r="I109" s="70"/>
      <c r="J109" s="71"/>
      <c r="K109" s="71"/>
      <c r="L109" s="71"/>
      <c r="M109" s="5"/>
      <c r="N109" s="5"/>
    </row>
    <row r="110" spans="5:14" x14ac:dyDescent="0.3">
      <c r="E110" s="48"/>
      <c r="F110" s="48"/>
      <c r="H110" s="48"/>
      <c r="I110" s="70"/>
      <c r="J110" s="71"/>
      <c r="K110" s="71"/>
      <c r="L110" s="71"/>
      <c r="M110" s="5"/>
      <c r="N110" s="5"/>
    </row>
    <row r="111" spans="5:14" x14ac:dyDescent="0.3">
      <c r="E111" s="48"/>
      <c r="F111" s="48"/>
      <c r="H111" s="48"/>
      <c r="I111" s="70"/>
      <c r="J111" s="71"/>
      <c r="K111" s="71"/>
      <c r="L111" s="71"/>
      <c r="M111" s="5"/>
      <c r="N111" s="5"/>
    </row>
    <row r="112" spans="5:14" x14ac:dyDescent="0.3">
      <c r="E112" s="48"/>
      <c r="F112" s="48"/>
      <c r="H112" s="48"/>
      <c r="I112" s="70"/>
      <c r="J112" s="71"/>
      <c r="K112" s="71"/>
      <c r="L112" s="71"/>
      <c r="M112" s="5"/>
      <c r="N112" s="5"/>
    </row>
    <row r="113" spans="5:14" x14ac:dyDescent="0.3">
      <c r="E113" s="48"/>
      <c r="F113" s="48"/>
      <c r="H113" s="48"/>
      <c r="I113" s="70"/>
      <c r="J113" s="71"/>
      <c r="K113" s="71"/>
      <c r="L113" s="71"/>
      <c r="M113" s="5"/>
      <c r="N113" s="5"/>
    </row>
    <row r="114" spans="5:14" x14ac:dyDescent="0.3">
      <c r="E114" s="48"/>
      <c r="F114" s="48"/>
      <c r="H114" s="48"/>
      <c r="I114" s="70"/>
      <c r="J114" s="71"/>
      <c r="K114" s="71"/>
      <c r="L114" s="71"/>
      <c r="M114" s="5"/>
      <c r="N114" s="5"/>
    </row>
    <row r="115" spans="5:14" x14ac:dyDescent="0.3">
      <c r="E115" s="48"/>
      <c r="F115" s="48"/>
      <c r="H115" s="48"/>
      <c r="I115" s="70"/>
      <c r="J115" s="71"/>
      <c r="K115" s="71"/>
      <c r="L115" s="71"/>
      <c r="M115" s="5"/>
      <c r="N115" s="5"/>
    </row>
    <row r="116" spans="5:14" x14ac:dyDescent="0.3">
      <c r="E116" s="48"/>
      <c r="F116" s="48"/>
      <c r="H116" s="48"/>
      <c r="I116" s="70"/>
      <c r="J116" s="71"/>
      <c r="K116" s="71"/>
      <c r="L116" s="71"/>
      <c r="M116" s="5"/>
      <c r="N116" s="5"/>
    </row>
    <row r="117" spans="5:14" x14ac:dyDescent="0.3">
      <c r="E117" s="48"/>
      <c r="F117" s="48"/>
      <c r="H117" s="48"/>
      <c r="I117" s="70"/>
      <c r="J117" s="71"/>
      <c r="K117" s="71"/>
      <c r="L117" s="71"/>
      <c r="M117" s="5"/>
      <c r="N117" s="5"/>
    </row>
    <row r="118" spans="5:14" x14ac:dyDescent="0.3">
      <c r="E118" s="48"/>
      <c r="F118" s="48"/>
      <c r="H118" s="48"/>
      <c r="I118" s="70"/>
      <c r="J118" s="71"/>
      <c r="K118" s="71"/>
      <c r="L118" s="71"/>
      <c r="M118" s="5"/>
      <c r="N118" s="5"/>
    </row>
    <row r="119" spans="5:14" x14ac:dyDescent="0.3">
      <c r="E119" s="48"/>
      <c r="F119" s="48"/>
      <c r="H119" s="48"/>
      <c r="I119" s="70"/>
      <c r="J119" s="71"/>
      <c r="K119" s="71"/>
      <c r="L119" s="71"/>
      <c r="M119" s="5"/>
      <c r="N119" s="5"/>
    </row>
    <row r="120" spans="5:14" x14ac:dyDescent="0.3">
      <c r="E120" s="48"/>
      <c r="F120" s="48"/>
      <c r="H120" s="48"/>
      <c r="I120" s="70"/>
      <c r="J120" s="71"/>
      <c r="K120" s="71"/>
      <c r="L120" s="71"/>
      <c r="M120" s="5"/>
      <c r="N120" s="5"/>
    </row>
    <row r="121" spans="5:14" x14ac:dyDescent="0.3">
      <c r="E121" s="48"/>
      <c r="F121" s="48"/>
      <c r="H121" s="48"/>
      <c r="I121" s="70"/>
      <c r="J121" s="71"/>
      <c r="K121" s="71"/>
      <c r="L121" s="71"/>
      <c r="M121" s="5"/>
      <c r="N121" s="5"/>
    </row>
    <row r="122" spans="5:14" x14ac:dyDescent="0.3">
      <c r="E122" s="48"/>
      <c r="F122" s="48"/>
      <c r="H122" s="48"/>
      <c r="I122" s="70"/>
      <c r="J122" s="71"/>
      <c r="K122" s="71"/>
      <c r="L122" s="71"/>
      <c r="M122" s="5"/>
      <c r="N122" s="5"/>
    </row>
    <row r="123" spans="5:14" x14ac:dyDescent="0.3">
      <c r="E123" s="48"/>
      <c r="F123" s="48"/>
      <c r="H123" s="48"/>
      <c r="I123" s="70"/>
      <c r="J123" s="71"/>
      <c r="K123" s="71"/>
      <c r="L123" s="71"/>
      <c r="M123" s="5"/>
      <c r="N123" s="5"/>
    </row>
    <row r="124" spans="5:14" x14ac:dyDescent="0.3">
      <c r="E124" s="48"/>
      <c r="F124" s="48"/>
      <c r="H124" s="48"/>
      <c r="I124" s="70"/>
      <c r="J124" s="71"/>
      <c r="K124" s="71"/>
      <c r="L124" s="71"/>
      <c r="M124" s="5"/>
      <c r="N124" s="5"/>
    </row>
    <row r="125" spans="5:14" x14ac:dyDescent="0.3">
      <c r="E125" s="48"/>
      <c r="F125" s="48"/>
      <c r="H125" s="48"/>
      <c r="I125" s="70"/>
      <c r="J125" s="71"/>
      <c r="K125" s="71"/>
      <c r="L125" s="71"/>
      <c r="M125" s="5"/>
      <c r="N125" s="5"/>
    </row>
    <row r="126" spans="5:14" x14ac:dyDescent="0.3">
      <c r="E126" s="48"/>
      <c r="F126" s="48"/>
      <c r="H126" s="48"/>
      <c r="I126" s="70"/>
      <c r="J126" s="71"/>
      <c r="K126" s="71"/>
      <c r="L126" s="71"/>
      <c r="M126" s="5"/>
      <c r="N126" s="5"/>
    </row>
    <row r="127" spans="5:14" x14ac:dyDescent="0.3">
      <c r="E127" s="48"/>
      <c r="F127" s="48"/>
      <c r="H127" s="48"/>
      <c r="I127" s="70"/>
      <c r="J127" s="71"/>
      <c r="K127" s="71"/>
      <c r="L127" s="71"/>
      <c r="M127" s="5"/>
      <c r="N127" s="5"/>
    </row>
    <row r="128" spans="5:14" x14ac:dyDescent="0.3">
      <c r="E128" s="48"/>
      <c r="F128" s="48"/>
      <c r="H128" s="48"/>
      <c r="I128" s="70"/>
      <c r="J128" s="71"/>
      <c r="K128" s="71"/>
      <c r="L128" s="71"/>
      <c r="M128" s="5"/>
      <c r="N128" s="5"/>
    </row>
    <row r="129" spans="2:14" x14ac:dyDescent="0.3">
      <c r="E129" s="48"/>
      <c r="F129" s="48"/>
      <c r="H129" s="48"/>
      <c r="I129" s="70"/>
      <c r="J129" s="71"/>
      <c r="K129" s="71"/>
      <c r="L129" s="71"/>
      <c r="M129" s="5"/>
      <c r="N129" s="5"/>
    </row>
    <row r="130" spans="2:14" x14ac:dyDescent="0.3">
      <c r="E130" s="48"/>
      <c r="F130" s="48"/>
      <c r="H130" s="48"/>
      <c r="I130" s="70"/>
      <c r="J130" s="71"/>
      <c r="K130" s="71"/>
      <c r="L130" s="71"/>
      <c r="M130" s="5"/>
      <c r="N130" s="5"/>
    </row>
    <row r="131" spans="2:14" x14ac:dyDescent="0.3">
      <c r="E131" s="48"/>
      <c r="F131" s="48"/>
      <c r="H131" s="48"/>
      <c r="I131" s="70"/>
      <c r="J131" s="71"/>
      <c r="K131" s="71"/>
      <c r="L131" s="71"/>
      <c r="M131" s="5"/>
      <c r="N131" s="5"/>
    </row>
    <row r="132" spans="2:14" x14ac:dyDescent="0.3">
      <c r="E132" s="48"/>
      <c r="F132" s="48"/>
      <c r="H132" s="48"/>
      <c r="I132" s="70"/>
      <c r="J132" s="71"/>
      <c r="K132" s="71"/>
      <c r="L132" s="71"/>
      <c r="M132" s="5"/>
      <c r="N132" s="5"/>
    </row>
    <row r="133" spans="2:14" x14ac:dyDescent="0.3">
      <c r="E133" s="48"/>
      <c r="F133" s="48"/>
      <c r="H133" s="48"/>
      <c r="I133" s="70"/>
      <c r="J133" s="71"/>
      <c r="K133" s="71"/>
      <c r="L133" s="71"/>
      <c r="M133" s="5"/>
      <c r="N133" s="5"/>
    </row>
    <row r="134" spans="2:14" x14ac:dyDescent="0.3">
      <c r="E134" s="48"/>
      <c r="F134" s="48"/>
      <c r="H134" s="48"/>
      <c r="I134" s="70"/>
      <c r="J134" s="71"/>
      <c r="K134" s="71"/>
      <c r="L134" s="71"/>
      <c r="M134" s="5"/>
      <c r="N134" s="5"/>
    </row>
    <row r="135" spans="2:14" x14ac:dyDescent="0.3">
      <c r="E135" s="48"/>
      <c r="F135" s="48"/>
      <c r="H135" s="48"/>
      <c r="I135" s="70"/>
      <c r="J135" s="71"/>
      <c r="K135" s="71"/>
      <c r="L135" s="71"/>
      <c r="M135" s="5"/>
      <c r="N135" s="5"/>
    </row>
    <row r="136" spans="2:14" x14ac:dyDescent="0.3">
      <c r="E136" s="48"/>
      <c r="F136" s="48"/>
      <c r="H136" s="48"/>
      <c r="I136" s="70"/>
      <c r="J136" s="71"/>
      <c r="K136" s="71"/>
      <c r="L136" s="71"/>
      <c r="M136" s="5"/>
      <c r="N136" s="5"/>
    </row>
    <row r="137" spans="2:14" x14ac:dyDescent="0.3">
      <c r="E137" s="48"/>
      <c r="F137" s="48"/>
      <c r="H137" s="48"/>
      <c r="I137" s="70"/>
      <c r="J137" s="71"/>
      <c r="K137" s="71"/>
      <c r="L137" s="71"/>
      <c r="M137" s="5"/>
      <c r="N137" s="5"/>
    </row>
    <row r="138" spans="2:14" x14ac:dyDescent="0.3">
      <c r="E138" s="48"/>
      <c r="F138" s="48"/>
      <c r="H138" s="48"/>
      <c r="I138" s="70"/>
      <c r="J138" s="71"/>
      <c r="K138" s="71"/>
      <c r="L138" s="71"/>
      <c r="M138" s="5"/>
      <c r="N138" s="5"/>
    </row>
    <row r="139" spans="2:14" x14ac:dyDescent="0.3">
      <c r="B139" s="43"/>
      <c r="E139" s="48"/>
      <c r="F139" s="48"/>
      <c r="H139" s="48"/>
      <c r="I139" s="70"/>
      <c r="J139" s="71"/>
      <c r="K139" s="71"/>
      <c r="L139" s="71"/>
      <c r="M139" s="5"/>
      <c r="N139" s="5"/>
    </row>
    <row r="140" spans="2:14" x14ac:dyDescent="0.3">
      <c r="E140" s="48"/>
      <c r="F140" s="48"/>
      <c r="H140" s="48"/>
      <c r="I140" s="70"/>
      <c r="J140" s="71"/>
      <c r="K140" s="71"/>
      <c r="L140" s="71"/>
      <c r="M140" s="5"/>
      <c r="N140" s="5"/>
    </row>
    <row r="141" spans="2:14" x14ac:dyDescent="0.3">
      <c r="E141" s="48"/>
      <c r="F141" s="48"/>
      <c r="H141" s="48"/>
      <c r="I141" s="70"/>
      <c r="J141" s="71"/>
      <c r="K141" s="71"/>
      <c r="L141" s="71"/>
      <c r="M141" s="5"/>
      <c r="N141" s="5"/>
    </row>
    <row r="142" spans="2:14" x14ac:dyDescent="0.3">
      <c r="E142" s="48"/>
      <c r="F142" s="48"/>
      <c r="H142" s="48"/>
      <c r="I142" s="70"/>
      <c r="J142" s="71"/>
      <c r="K142" s="71"/>
      <c r="L142" s="71"/>
      <c r="M142" s="5"/>
      <c r="N142" s="5"/>
    </row>
    <row r="143" spans="2:14" x14ac:dyDescent="0.3">
      <c r="E143" s="48"/>
      <c r="F143" s="48"/>
      <c r="H143" s="48"/>
      <c r="I143" s="70"/>
      <c r="J143" s="71"/>
      <c r="K143" s="71"/>
      <c r="L143" s="71"/>
      <c r="M143" s="5"/>
      <c r="N143" s="5"/>
    </row>
    <row r="144" spans="2:14" x14ac:dyDescent="0.3">
      <c r="E144" s="48"/>
      <c r="F144" s="48"/>
      <c r="H144" s="48"/>
      <c r="I144" s="70"/>
      <c r="J144" s="71"/>
      <c r="K144" s="71"/>
      <c r="L144" s="71"/>
      <c r="M144" s="5"/>
      <c r="N144" s="5"/>
    </row>
    <row r="145" spans="5:14" x14ac:dyDescent="0.3">
      <c r="E145" s="48"/>
      <c r="F145" s="48"/>
      <c r="H145" s="48"/>
      <c r="I145" s="70"/>
      <c r="J145" s="71"/>
      <c r="K145" s="71"/>
      <c r="L145" s="71"/>
      <c r="M145" s="5"/>
      <c r="N145" s="5"/>
    </row>
    <row r="146" spans="5:14" x14ac:dyDescent="0.3">
      <c r="E146" s="48"/>
      <c r="F146" s="48"/>
      <c r="H146" s="48"/>
      <c r="I146" s="70"/>
      <c r="J146" s="71"/>
      <c r="K146" s="71"/>
      <c r="L146" s="71"/>
      <c r="M146" s="5"/>
      <c r="N146" s="5"/>
    </row>
    <row r="147" spans="5:14" x14ac:dyDescent="0.3">
      <c r="E147" s="48"/>
      <c r="F147" s="48"/>
      <c r="H147" s="48"/>
      <c r="I147" s="70"/>
      <c r="J147" s="71"/>
      <c r="K147" s="71"/>
      <c r="L147" s="71"/>
      <c r="M147" s="5"/>
      <c r="N147" s="5"/>
    </row>
    <row r="148" spans="5:14" x14ac:dyDescent="0.3">
      <c r="E148" s="48"/>
      <c r="F148" s="48"/>
      <c r="H148" s="48"/>
      <c r="I148" s="70"/>
      <c r="J148" s="71"/>
      <c r="K148" s="71"/>
      <c r="L148" s="71"/>
      <c r="M148" s="5"/>
      <c r="N148" s="5"/>
    </row>
    <row r="149" spans="5:14" x14ac:dyDescent="0.3">
      <c r="E149" s="48"/>
      <c r="F149" s="48"/>
      <c r="H149" s="48"/>
      <c r="I149" s="70"/>
      <c r="J149" s="71"/>
      <c r="K149" s="71"/>
      <c r="L149" s="71"/>
      <c r="M149" s="5"/>
      <c r="N149" s="5"/>
    </row>
    <row r="150" spans="5:14" x14ac:dyDescent="0.3">
      <c r="E150" s="48"/>
      <c r="F150" s="48"/>
      <c r="H150" s="48"/>
      <c r="I150" s="70"/>
      <c r="J150" s="71"/>
      <c r="K150" s="71"/>
      <c r="L150" s="71"/>
      <c r="M150" s="5"/>
      <c r="N150" s="5"/>
    </row>
    <row r="151" spans="5:14" x14ac:dyDescent="0.3">
      <c r="E151" s="48"/>
      <c r="F151" s="48"/>
      <c r="H151" s="48"/>
      <c r="I151" s="70"/>
      <c r="J151" s="71"/>
      <c r="K151" s="71"/>
      <c r="L151" s="71"/>
      <c r="M151" s="5"/>
      <c r="N151" s="5"/>
    </row>
    <row r="152" spans="5:14" x14ac:dyDescent="0.3">
      <c r="E152" s="48"/>
      <c r="F152" s="48"/>
      <c r="H152" s="48"/>
      <c r="I152" s="70"/>
      <c r="J152" s="71"/>
      <c r="K152" s="71"/>
      <c r="L152" s="71"/>
      <c r="M152" s="5"/>
      <c r="N152" s="5"/>
    </row>
    <row r="153" spans="5:14" x14ac:dyDescent="0.3">
      <c r="E153" s="48"/>
      <c r="F153" s="48"/>
      <c r="H153" s="48"/>
      <c r="I153" s="70"/>
      <c r="J153" s="71"/>
      <c r="K153" s="71"/>
      <c r="L153" s="71"/>
      <c r="M153" s="5"/>
      <c r="N153" s="5"/>
    </row>
    <row r="154" spans="5:14" x14ac:dyDescent="0.3">
      <c r="E154" s="48"/>
      <c r="F154" s="48"/>
      <c r="H154" s="48"/>
      <c r="I154" s="70"/>
      <c r="J154" s="71"/>
      <c r="K154" s="71"/>
      <c r="L154" s="71"/>
      <c r="M154" s="5"/>
      <c r="N154" s="5"/>
    </row>
    <row r="155" spans="5:14" x14ac:dyDescent="0.3">
      <c r="E155" s="48"/>
      <c r="F155" s="48"/>
      <c r="H155" s="48"/>
      <c r="I155" s="70"/>
      <c r="J155" s="71"/>
      <c r="K155" s="71"/>
      <c r="L155" s="71"/>
      <c r="M155" s="5"/>
      <c r="N155" s="5"/>
    </row>
    <row r="156" spans="5:14" x14ac:dyDescent="0.3">
      <c r="E156" s="48"/>
      <c r="F156" s="48"/>
      <c r="H156" s="48"/>
      <c r="I156" s="70"/>
      <c r="J156" s="71"/>
      <c r="K156" s="71"/>
      <c r="L156" s="71"/>
      <c r="M156" s="5"/>
      <c r="N156" s="5"/>
    </row>
    <row r="157" spans="5:14" x14ac:dyDescent="0.3">
      <c r="E157" s="48"/>
      <c r="F157" s="48"/>
      <c r="H157" s="48"/>
      <c r="I157" s="70"/>
      <c r="J157" s="71"/>
      <c r="K157" s="71"/>
      <c r="L157" s="71"/>
      <c r="M157" s="5"/>
      <c r="N157" s="5"/>
    </row>
    <row r="158" spans="5:14" x14ac:dyDescent="0.3">
      <c r="E158" s="48"/>
      <c r="F158" s="48"/>
      <c r="H158" s="48"/>
      <c r="I158" s="70"/>
      <c r="J158" s="71"/>
      <c r="K158" s="71"/>
      <c r="L158" s="71"/>
      <c r="M158" s="5"/>
      <c r="N158" s="5"/>
    </row>
    <row r="159" spans="5:14" x14ac:dyDescent="0.3">
      <c r="E159" s="48"/>
      <c r="F159" s="48"/>
      <c r="H159" s="48"/>
      <c r="I159" s="70"/>
      <c r="J159" s="71"/>
      <c r="K159" s="71"/>
      <c r="L159" s="71"/>
      <c r="M159" s="5"/>
      <c r="N159" s="5"/>
    </row>
    <row r="160" spans="5:14" x14ac:dyDescent="0.3">
      <c r="E160" s="48"/>
      <c r="F160" s="48"/>
      <c r="H160" s="48"/>
      <c r="I160" s="70"/>
      <c r="J160" s="71"/>
      <c r="K160" s="71"/>
      <c r="L160" s="71"/>
      <c r="M160" s="5"/>
      <c r="N160" s="5"/>
    </row>
    <row r="161" spans="5:14" x14ac:dyDescent="0.3">
      <c r="E161" s="48"/>
      <c r="F161" s="48"/>
      <c r="H161" s="48"/>
      <c r="I161" s="70"/>
      <c r="J161" s="71"/>
      <c r="K161" s="71"/>
      <c r="L161" s="71"/>
      <c r="M161" s="5"/>
      <c r="N161" s="5"/>
    </row>
    <row r="162" spans="5:14" x14ac:dyDescent="0.3">
      <c r="E162" s="48"/>
      <c r="F162" s="48"/>
      <c r="H162" s="48"/>
      <c r="I162" s="70"/>
      <c r="J162" s="71"/>
      <c r="K162" s="71"/>
      <c r="L162" s="71"/>
      <c r="M162" s="5"/>
      <c r="N162" s="5"/>
    </row>
    <row r="163" spans="5:14" x14ac:dyDescent="0.3">
      <c r="E163" s="48"/>
      <c r="F163" s="48"/>
      <c r="H163" s="48"/>
      <c r="I163" s="70"/>
      <c r="J163" s="71"/>
      <c r="K163" s="71"/>
      <c r="L163" s="71"/>
      <c r="M163" s="5"/>
      <c r="N163" s="5"/>
    </row>
    <row r="164" spans="5:14" x14ac:dyDescent="0.3">
      <c r="E164" s="48"/>
      <c r="F164" s="48"/>
      <c r="H164" s="48"/>
      <c r="I164" s="70"/>
      <c r="J164" s="71"/>
      <c r="K164" s="71"/>
      <c r="L164" s="71"/>
      <c r="M164" s="5"/>
      <c r="N164" s="5"/>
    </row>
    <row r="165" spans="5:14" x14ac:dyDescent="0.3">
      <c r="E165" s="48"/>
      <c r="F165" s="48"/>
      <c r="H165" s="48"/>
      <c r="I165" s="70"/>
      <c r="J165" s="71"/>
      <c r="K165" s="71"/>
      <c r="L165" s="71"/>
      <c r="M165" s="5"/>
      <c r="N165" s="5"/>
    </row>
    <row r="166" spans="5:14" x14ac:dyDescent="0.3">
      <c r="E166" s="48"/>
      <c r="F166" s="48"/>
      <c r="H166" s="48"/>
      <c r="I166" s="70"/>
      <c r="J166" s="71"/>
      <c r="K166" s="71"/>
      <c r="L166" s="71"/>
      <c r="M166" s="5"/>
      <c r="N166" s="5"/>
    </row>
    <row r="167" spans="5:14" x14ac:dyDescent="0.3">
      <c r="E167" s="48"/>
      <c r="F167" s="48"/>
      <c r="H167" s="48"/>
      <c r="I167" s="70"/>
      <c r="J167" s="71"/>
      <c r="K167" s="71"/>
      <c r="L167" s="71"/>
      <c r="M167" s="5"/>
      <c r="N167" s="5"/>
    </row>
    <row r="168" spans="5:14" x14ac:dyDescent="0.3">
      <c r="E168" s="48"/>
      <c r="F168" s="48"/>
      <c r="H168" s="48"/>
      <c r="I168" s="70"/>
      <c r="J168" s="71"/>
      <c r="K168" s="71"/>
      <c r="L168" s="71"/>
      <c r="M168" s="5"/>
      <c r="N168" s="5"/>
    </row>
    <row r="169" spans="5:14" x14ac:dyDescent="0.3">
      <c r="E169" s="48"/>
      <c r="F169" s="48"/>
      <c r="H169" s="48"/>
      <c r="I169" s="70"/>
      <c r="J169" s="71"/>
      <c r="K169" s="71"/>
      <c r="L169" s="71"/>
      <c r="M169" s="5"/>
      <c r="N169" s="5"/>
    </row>
    <row r="170" spans="5:14" x14ac:dyDescent="0.3">
      <c r="E170" s="48"/>
      <c r="F170" s="48"/>
      <c r="H170" s="48"/>
      <c r="I170" s="70"/>
      <c r="J170" s="71"/>
      <c r="K170" s="71"/>
      <c r="L170" s="71"/>
      <c r="M170" s="5"/>
      <c r="N170" s="5"/>
    </row>
    <row r="171" spans="5:14" x14ac:dyDescent="0.3">
      <c r="E171" s="48"/>
      <c r="F171" s="48"/>
      <c r="H171" s="48"/>
      <c r="I171" s="70"/>
      <c r="J171" s="71"/>
      <c r="K171" s="71"/>
      <c r="L171" s="71"/>
      <c r="M171" s="5"/>
      <c r="N171" s="5"/>
    </row>
    <row r="172" spans="5:14" x14ac:dyDescent="0.3">
      <c r="E172" s="48"/>
      <c r="F172" s="48"/>
      <c r="H172" s="48"/>
      <c r="I172" s="70"/>
      <c r="J172" s="71"/>
      <c r="K172" s="71"/>
      <c r="L172" s="71"/>
      <c r="M172" s="5"/>
      <c r="N172" s="5"/>
    </row>
    <row r="173" spans="5:14" x14ac:dyDescent="0.3">
      <c r="E173" s="48"/>
      <c r="F173" s="48"/>
      <c r="H173" s="48"/>
      <c r="I173" s="70"/>
      <c r="J173" s="71"/>
      <c r="K173" s="71"/>
      <c r="L173" s="71"/>
      <c r="M173" s="5"/>
      <c r="N173" s="5"/>
    </row>
    <row r="174" spans="5:14" x14ac:dyDescent="0.3">
      <c r="E174" s="48"/>
      <c r="F174" s="48"/>
      <c r="H174" s="48"/>
      <c r="I174" s="70"/>
      <c r="J174" s="71"/>
      <c r="K174" s="71"/>
      <c r="L174" s="71"/>
      <c r="M174" s="5"/>
      <c r="N174" s="5"/>
    </row>
    <row r="175" spans="5:14" x14ac:dyDescent="0.3">
      <c r="E175" s="48"/>
      <c r="F175" s="48"/>
      <c r="H175" s="48"/>
      <c r="I175" s="70"/>
      <c r="J175" s="71"/>
      <c r="K175" s="71"/>
      <c r="L175" s="71"/>
      <c r="M175" s="5"/>
      <c r="N175" s="5"/>
    </row>
    <row r="176" spans="5:14" x14ac:dyDescent="0.3">
      <c r="E176" s="48"/>
      <c r="F176" s="48"/>
      <c r="H176" s="48"/>
      <c r="I176" s="70"/>
      <c r="J176" s="71"/>
      <c r="K176" s="71"/>
      <c r="L176" s="71"/>
      <c r="M176" s="5"/>
      <c r="N176" s="5"/>
    </row>
    <row r="177" spans="5:14" x14ac:dyDescent="0.3">
      <c r="E177" s="48"/>
      <c r="F177" s="48"/>
      <c r="H177" s="48"/>
      <c r="I177" s="70"/>
      <c r="J177" s="71"/>
      <c r="K177" s="71"/>
      <c r="L177" s="71"/>
      <c r="M177" s="5"/>
      <c r="N177" s="5"/>
    </row>
    <row r="178" spans="5:14" x14ac:dyDescent="0.3">
      <c r="E178" s="48"/>
      <c r="F178" s="48"/>
      <c r="H178" s="48"/>
      <c r="I178" s="70"/>
      <c r="J178" s="71"/>
      <c r="K178" s="71"/>
      <c r="L178" s="71"/>
      <c r="M178" s="5"/>
      <c r="N178" s="5"/>
    </row>
    <row r="179" spans="5:14" x14ac:dyDescent="0.3">
      <c r="E179" s="48"/>
      <c r="F179" s="48"/>
      <c r="H179" s="48"/>
      <c r="I179" s="70"/>
      <c r="J179" s="71"/>
      <c r="K179" s="71"/>
      <c r="L179" s="71"/>
      <c r="M179" s="5"/>
      <c r="N179" s="5"/>
    </row>
    <row r="180" spans="5:14" x14ac:dyDescent="0.3">
      <c r="E180" s="48"/>
      <c r="F180" s="48"/>
      <c r="H180" s="48"/>
      <c r="I180" s="70"/>
      <c r="J180" s="71"/>
      <c r="K180" s="71"/>
      <c r="L180" s="71"/>
      <c r="M180" s="5"/>
      <c r="N180" s="5"/>
    </row>
    <row r="181" spans="5:14" x14ac:dyDescent="0.3">
      <c r="E181" s="48"/>
      <c r="H181" s="48"/>
      <c r="I181" s="70"/>
      <c r="J181" s="71"/>
      <c r="K181" s="71"/>
      <c r="L181" s="71"/>
      <c r="M181" s="5"/>
      <c r="N181" s="5"/>
    </row>
    <row r="182" spans="5:14" x14ac:dyDescent="0.3">
      <c r="E182" s="48"/>
      <c r="H182" s="48"/>
      <c r="I182" s="70"/>
      <c r="J182" s="71"/>
      <c r="K182" s="71"/>
      <c r="L182" s="71"/>
      <c r="M182" s="5"/>
      <c r="N182" s="5"/>
    </row>
    <row r="183" spans="5:14" x14ac:dyDescent="0.3">
      <c r="E183" s="48"/>
      <c r="H183" s="48"/>
      <c r="I183" s="70"/>
      <c r="J183" s="71"/>
      <c r="K183" s="71"/>
      <c r="L183" s="71"/>
      <c r="M183" s="5"/>
      <c r="N183" s="5"/>
    </row>
    <row r="184" spans="5:14" x14ac:dyDescent="0.3">
      <c r="E184" s="48"/>
      <c r="H184" s="48"/>
      <c r="I184" s="70"/>
      <c r="J184" s="71"/>
      <c r="K184" s="71"/>
      <c r="L184" s="71"/>
      <c r="M184" s="5"/>
      <c r="N184" s="5"/>
    </row>
    <row r="185" spans="5:14" x14ac:dyDescent="0.3">
      <c r="E185" s="48"/>
      <c r="H185" s="48"/>
      <c r="I185" s="70"/>
      <c r="J185" s="71"/>
      <c r="K185" s="71"/>
      <c r="L185" s="71"/>
      <c r="M185" s="5"/>
      <c r="N185" s="5"/>
    </row>
    <row r="186" spans="5:14" x14ac:dyDescent="0.3">
      <c r="E186" s="48"/>
      <c r="H186" s="48"/>
      <c r="I186" s="70"/>
      <c r="J186" s="71"/>
      <c r="K186" s="71"/>
      <c r="L186" s="71"/>
      <c r="M186" s="5"/>
      <c r="N186" s="5"/>
    </row>
    <row r="187" spans="5:14" x14ac:dyDescent="0.3">
      <c r="E187" s="48"/>
      <c r="H187" s="48"/>
      <c r="I187" s="70"/>
      <c r="J187" s="71"/>
      <c r="K187" s="71"/>
      <c r="L187" s="71"/>
      <c r="M187" s="5"/>
      <c r="N187" s="5"/>
    </row>
    <row r="188" spans="5:14" x14ac:dyDescent="0.3">
      <c r="E188" s="48"/>
      <c r="H188" s="48"/>
      <c r="I188" s="70"/>
      <c r="J188" s="71"/>
      <c r="K188" s="71"/>
      <c r="L188" s="71"/>
      <c r="M188" s="5"/>
      <c r="N188" s="5"/>
    </row>
    <row r="189" spans="5:14" x14ac:dyDescent="0.3">
      <c r="E189" s="48"/>
      <c r="H189" s="48"/>
      <c r="I189" s="70"/>
      <c r="J189" s="71"/>
      <c r="K189" s="71"/>
      <c r="L189" s="71"/>
      <c r="M189" s="5"/>
      <c r="N189" s="5"/>
    </row>
    <row r="190" spans="5:14" x14ac:dyDescent="0.3">
      <c r="E190" s="48"/>
      <c r="H190" s="48"/>
      <c r="I190" s="70"/>
      <c r="J190" s="71"/>
      <c r="K190" s="71"/>
      <c r="L190" s="71"/>
      <c r="M190" s="5"/>
      <c r="N190" s="5"/>
    </row>
    <row r="191" spans="5:14" x14ac:dyDescent="0.3">
      <c r="E191" s="48"/>
      <c r="H191" s="48"/>
      <c r="I191" s="70"/>
      <c r="J191" s="71"/>
      <c r="K191" s="71"/>
      <c r="L191" s="71"/>
      <c r="M191" s="5"/>
      <c r="N191" s="5"/>
    </row>
    <row r="192" spans="5:14" x14ac:dyDescent="0.3">
      <c r="E192" s="48"/>
      <c r="H192" s="48"/>
      <c r="I192" s="70"/>
      <c r="J192" s="71"/>
      <c r="K192" s="71"/>
      <c r="L192" s="71"/>
      <c r="M192" s="5"/>
      <c r="N192" s="5"/>
    </row>
    <row r="193" spans="5:14" x14ac:dyDescent="0.3">
      <c r="E193" s="48"/>
      <c r="H193" s="48"/>
      <c r="I193" s="70"/>
      <c r="J193" s="71"/>
      <c r="K193" s="71"/>
      <c r="L193" s="71"/>
      <c r="M193" s="5"/>
      <c r="N193" s="5"/>
    </row>
    <row r="194" spans="5:14" x14ac:dyDescent="0.3">
      <c r="E194" s="48"/>
      <c r="H194" s="48"/>
      <c r="I194" s="70"/>
      <c r="J194" s="71"/>
      <c r="K194" s="71"/>
      <c r="L194" s="71"/>
      <c r="M194" s="5"/>
      <c r="N194" s="5"/>
    </row>
    <row r="195" spans="5:14" x14ac:dyDescent="0.3">
      <c r="E195" s="48"/>
      <c r="H195" s="48"/>
      <c r="I195" s="70"/>
      <c r="J195" s="71"/>
      <c r="K195" s="71"/>
      <c r="L195" s="71"/>
      <c r="M195" s="5"/>
      <c r="N195" s="5"/>
    </row>
    <row r="196" spans="5:14" x14ac:dyDescent="0.3">
      <c r="E196" s="48"/>
      <c r="H196" s="48"/>
      <c r="I196" s="70"/>
      <c r="J196" s="71"/>
      <c r="K196" s="71"/>
      <c r="L196" s="71"/>
      <c r="M196" s="5"/>
      <c r="N196" s="5"/>
    </row>
    <row r="197" spans="5:14" x14ac:dyDescent="0.3">
      <c r="E197" s="48"/>
      <c r="H197" s="48"/>
      <c r="I197" s="70"/>
      <c r="J197" s="71"/>
      <c r="K197" s="71"/>
      <c r="L197" s="71"/>
      <c r="M197" s="5"/>
      <c r="N197" s="5"/>
    </row>
    <row r="198" spans="5:14" x14ac:dyDescent="0.3">
      <c r="E198" s="48"/>
      <c r="H198" s="48"/>
      <c r="I198" s="70"/>
      <c r="J198" s="71"/>
      <c r="K198" s="71"/>
      <c r="L198" s="71"/>
      <c r="M198" s="5"/>
      <c r="N198" s="5"/>
    </row>
    <row r="199" spans="5:14" x14ac:dyDescent="0.3">
      <c r="E199" s="48"/>
      <c r="H199" s="48"/>
      <c r="I199" s="70"/>
      <c r="J199" s="71"/>
      <c r="K199" s="71"/>
      <c r="L199" s="71"/>
      <c r="M199" s="5"/>
      <c r="N199" s="5"/>
    </row>
    <row r="200" spans="5:14" x14ac:dyDescent="0.3">
      <c r="E200" s="48"/>
      <c r="H200" s="48"/>
      <c r="I200" s="70"/>
      <c r="J200" s="71"/>
      <c r="K200" s="71"/>
      <c r="L200" s="71"/>
      <c r="M200" s="5"/>
      <c r="N200" s="5"/>
    </row>
    <row r="201" spans="5:14" x14ac:dyDescent="0.3">
      <c r="E201" s="48"/>
      <c r="H201" s="48"/>
      <c r="I201" s="70"/>
      <c r="J201" s="71"/>
      <c r="K201" s="71"/>
      <c r="L201" s="71"/>
      <c r="M201" s="5"/>
      <c r="N201" s="5"/>
    </row>
    <row r="202" spans="5:14" x14ac:dyDescent="0.3">
      <c r="E202" s="48"/>
      <c r="H202" s="48"/>
      <c r="I202" s="70"/>
      <c r="J202" s="71"/>
      <c r="K202" s="71"/>
      <c r="L202" s="71"/>
      <c r="M202" s="5"/>
      <c r="N202" s="5"/>
    </row>
    <row r="203" spans="5:14" x14ac:dyDescent="0.3">
      <c r="E203" s="48"/>
      <c r="H203" s="48"/>
      <c r="I203" s="70"/>
      <c r="J203" s="71"/>
      <c r="K203" s="71"/>
      <c r="L203" s="71"/>
      <c r="M203" s="5"/>
      <c r="N203" s="5"/>
    </row>
    <row r="204" spans="5:14" x14ac:dyDescent="0.3">
      <c r="E204" s="48"/>
      <c r="H204" s="48"/>
      <c r="I204" s="70"/>
      <c r="J204" s="71"/>
      <c r="K204" s="71"/>
      <c r="L204" s="71"/>
      <c r="M204" s="5"/>
      <c r="N204" s="5"/>
    </row>
    <row r="205" spans="5:14" x14ac:dyDescent="0.3">
      <c r="E205" s="48"/>
      <c r="H205" s="48"/>
      <c r="I205" s="70"/>
      <c r="J205" s="71"/>
      <c r="K205" s="71"/>
      <c r="L205" s="71"/>
      <c r="M205" s="5"/>
      <c r="N205" s="5"/>
    </row>
    <row r="206" spans="5:14" x14ac:dyDescent="0.3">
      <c r="E206" s="48"/>
      <c r="H206" s="48"/>
      <c r="I206" s="70"/>
      <c r="J206" s="71"/>
      <c r="K206" s="71"/>
      <c r="L206" s="71"/>
      <c r="M206" s="5"/>
      <c r="N206" s="5"/>
    </row>
    <row r="207" spans="5:14" x14ac:dyDescent="0.3">
      <c r="E207" s="48"/>
      <c r="H207" s="48"/>
      <c r="I207" s="70"/>
      <c r="J207" s="71"/>
      <c r="K207" s="71"/>
      <c r="L207" s="71"/>
      <c r="M207" s="5"/>
      <c r="N207" s="5"/>
    </row>
    <row r="208" spans="5:14" x14ac:dyDescent="0.3">
      <c r="E208" s="48"/>
      <c r="H208" s="48"/>
      <c r="I208" s="70"/>
      <c r="J208" s="71"/>
      <c r="K208" s="71"/>
      <c r="L208" s="71"/>
      <c r="M208" s="5"/>
      <c r="N208" s="5"/>
    </row>
    <row r="209" spans="5:14" x14ac:dyDescent="0.3">
      <c r="E209" s="48"/>
      <c r="H209" s="48"/>
      <c r="I209" s="70"/>
      <c r="J209" s="71"/>
      <c r="K209" s="71"/>
      <c r="L209" s="71"/>
      <c r="M209" s="5"/>
      <c r="N209" s="5"/>
    </row>
    <row r="210" spans="5:14" x14ac:dyDescent="0.3">
      <c r="E210" s="48"/>
      <c r="H210" s="48"/>
      <c r="I210" s="70"/>
      <c r="J210" s="71"/>
      <c r="K210" s="71"/>
      <c r="L210" s="71"/>
      <c r="M210" s="5"/>
      <c r="N210" s="5"/>
    </row>
    <row r="211" spans="5:14" x14ac:dyDescent="0.3">
      <c r="E211" s="48"/>
      <c r="H211" s="48"/>
      <c r="I211" s="70"/>
      <c r="J211" s="71"/>
      <c r="K211" s="71"/>
      <c r="L211" s="71"/>
      <c r="M211" s="5"/>
      <c r="N211" s="5"/>
    </row>
    <row r="212" spans="5:14" x14ac:dyDescent="0.3">
      <c r="E212" s="48"/>
      <c r="H212" s="48"/>
      <c r="I212" s="70"/>
      <c r="J212" s="71"/>
      <c r="K212" s="71"/>
      <c r="L212" s="71"/>
      <c r="M212" s="5"/>
      <c r="N212" s="5"/>
    </row>
    <row r="213" spans="5:14" x14ac:dyDescent="0.3">
      <c r="E213" s="48"/>
      <c r="H213" s="48"/>
      <c r="I213" s="70"/>
      <c r="J213" s="71"/>
      <c r="K213" s="71"/>
      <c r="L213" s="71"/>
      <c r="M213" s="5"/>
      <c r="N213" s="5"/>
    </row>
    <row r="214" spans="5:14" x14ac:dyDescent="0.3">
      <c r="E214" s="48"/>
      <c r="H214" s="48"/>
      <c r="I214" s="70"/>
      <c r="J214" s="71"/>
      <c r="K214" s="71"/>
      <c r="L214" s="71"/>
      <c r="M214" s="5"/>
      <c r="N214" s="5"/>
    </row>
    <row r="215" spans="5:14" x14ac:dyDescent="0.3">
      <c r="E215" s="48"/>
      <c r="H215" s="48"/>
      <c r="I215" s="70"/>
      <c r="J215" s="71"/>
      <c r="K215" s="71"/>
      <c r="L215" s="71"/>
      <c r="M215" s="5"/>
      <c r="N215" s="5"/>
    </row>
    <row r="216" spans="5:14" x14ac:dyDescent="0.3">
      <c r="E216" s="48"/>
      <c r="H216" s="48"/>
      <c r="I216" s="70"/>
      <c r="J216" s="71"/>
      <c r="K216" s="71"/>
      <c r="L216" s="71"/>
      <c r="M216" s="5"/>
      <c r="N216" s="5"/>
    </row>
    <row r="217" spans="5:14" x14ac:dyDescent="0.3">
      <c r="E217" s="48"/>
      <c r="H217" s="48"/>
      <c r="I217" s="70"/>
      <c r="J217" s="71"/>
      <c r="K217" s="71"/>
      <c r="L217" s="71"/>
      <c r="M217" s="5"/>
      <c r="N217" s="5"/>
    </row>
    <row r="218" spans="5:14" x14ac:dyDescent="0.3">
      <c r="E218" s="48"/>
      <c r="H218" s="48"/>
      <c r="I218" s="70"/>
      <c r="J218" s="71"/>
      <c r="K218" s="71"/>
      <c r="L218" s="71"/>
      <c r="M218" s="5"/>
      <c r="N218" s="5"/>
    </row>
    <row r="219" spans="5:14" x14ac:dyDescent="0.3">
      <c r="E219" s="48"/>
      <c r="H219" s="48"/>
      <c r="I219" s="70"/>
      <c r="J219" s="71"/>
      <c r="K219" s="71"/>
      <c r="L219" s="71"/>
    </row>
    <row r="220" spans="5:14" x14ac:dyDescent="0.3">
      <c r="E220" s="48"/>
      <c r="H220" s="48"/>
      <c r="I220" s="70"/>
      <c r="J220" s="71"/>
      <c r="K220" s="71"/>
      <c r="L220" s="71"/>
    </row>
    <row r="221" spans="5:14" x14ac:dyDescent="0.3">
      <c r="E221" s="48"/>
      <c r="H221" s="48"/>
      <c r="I221" s="70"/>
      <c r="J221" s="71"/>
      <c r="K221" s="71"/>
      <c r="L221" s="71"/>
    </row>
    <row r="222" spans="5:14" x14ac:dyDescent="0.3">
      <c r="E222" s="48"/>
      <c r="H222" s="48"/>
      <c r="I222" s="70"/>
      <c r="J222" s="71"/>
      <c r="K222" s="71"/>
      <c r="L222" s="71"/>
    </row>
    <row r="223" spans="5:14" x14ac:dyDescent="0.3">
      <c r="E223" s="48"/>
      <c r="H223" s="48"/>
      <c r="I223" s="70"/>
      <c r="J223" s="71"/>
      <c r="K223" s="71"/>
      <c r="L223" s="71"/>
    </row>
    <row r="224" spans="5:14" x14ac:dyDescent="0.3">
      <c r="E224" s="48"/>
      <c r="H224" s="48"/>
      <c r="I224" s="70"/>
      <c r="J224" s="71"/>
      <c r="K224" s="71"/>
      <c r="L224" s="71"/>
    </row>
    <row r="225" spans="2:15" x14ac:dyDescent="0.3">
      <c r="E225" s="48"/>
      <c r="H225" s="48"/>
      <c r="I225" s="70"/>
      <c r="J225" s="71"/>
      <c r="K225" s="71"/>
      <c r="L225" s="71"/>
    </row>
    <row r="226" spans="2:15" x14ac:dyDescent="0.3">
      <c r="E226" s="48"/>
      <c r="H226" s="48"/>
      <c r="I226" s="70"/>
      <c r="J226" s="71"/>
      <c r="K226" s="71"/>
      <c r="L226" s="71"/>
    </row>
    <row r="227" spans="2:15" x14ac:dyDescent="0.3">
      <c r="E227" s="48"/>
      <c r="H227" s="48"/>
      <c r="I227" s="70"/>
      <c r="J227" s="71"/>
      <c r="K227" s="71"/>
      <c r="L227" s="71"/>
    </row>
    <row r="228" spans="2:15" x14ac:dyDescent="0.3">
      <c r="E228" s="48"/>
      <c r="H228" s="48"/>
      <c r="I228" s="70"/>
      <c r="J228" s="71"/>
      <c r="K228" s="71"/>
      <c r="L228" s="71"/>
    </row>
    <row r="229" spans="2:15" s="5" customFormat="1" x14ac:dyDescent="0.3">
      <c r="B229" s="6"/>
      <c r="C229" s="6"/>
      <c r="D229" s="6"/>
      <c r="E229" s="48"/>
      <c r="F229" s="6"/>
      <c r="H229" s="48"/>
      <c r="I229" s="70"/>
      <c r="J229" s="71"/>
      <c r="K229" s="71"/>
      <c r="L229" s="71"/>
      <c r="M229" s="6"/>
      <c r="N229" s="6"/>
      <c r="O229" s="6"/>
    </row>
    <row r="230" spans="2:15" s="5" customFormat="1" x14ac:dyDescent="0.3">
      <c r="B230" s="6"/>
      <c r="C230" s="6"/>
      <c r="D230" s="6"/>
      <c r="E230" s="48"/>
      <c r="F230" s="6"/>
      <c r="H230" s="48"/>
      <c r="I230" s="70"/>
      <c r="J230" s="71"/>
      <c r="K230" s="71"/>
      <c r="L230" s="71"/>
      <c r="M230" s="6"/>
      <c r="N230" s="6"/>
      <c r="O230" s="6"/>
    </row>
    <row r="231" spans="2:15" s="5" customFormat="1" x14ac:dyDescent="0.3">
      <c r="B231" s="6"/>
      <c r="C231" s="6"/>
      <c r="D231" s="6"/>
      <c r="E231" s="48"/>
      <c r="F231" s="6"/>
      <c r="H231" s="48"/>
      <c r="I231" s="70"/>
      <c r="J231" s="71"/>
      <c r="K231" s="71"/>
      <c r="L231" s="71"/>
      <c r="M231" s="6"/>
      <c r="N231" s="6"/>
      <c r="O231" s="6"/>
    </row>
    <row r="232" spans="2:15" s="5" customFormat="1" x14ac:dyDescent="0.3">
      <c r="B232" s="6"/>
      <c r="C232" s="6"/>
      <c r="D232" s="6"/>
      <c r="E232" s="48"/>
      <c r="F232" s="6"/>
      <c r="H232" s="48"/>
      <c r="I232" s="70"/>
      <c r="J232" s="71"/>
      <c r="K232" s="71"/>
      <c r="L232" s="71"/>
      <c r="M232" s="6"/>
      <c r="N232" s="6"/>
      <c r="O232" s="6"/>
    </row>
    <row r="233" spans="2:15" s="5" customFormat="1" x14ac:dyDescent="0.3">
      <c r="B233" s="6"/>
      <c r="C233" s="6"/>
      <c r="D233" s="6"/>
      <c r="E233" s="48"/>
      <c r="F233" s="6"/>
      <c r="H233" s="48"/>
      <c r="I233" s="70"/>
      <c r="J233" s="71"/>
      <c r="K233" s="71"/>
      <c r="L233" s="71"/>
      <c r="M233" s="6"/>
      <c r="N233" s="6"/>
      <c r="O233" s="6"/>
    </row>
    <row r="234" spans="2:15" s="5" customFormat="1" x14ac:dyDescent="0.3">
      <c r="B234" s="6"/>
      <c r="C234" s="6"/>
      <c r="D234" s="6"/>
      <c r="E234" s="48"/>
      <c r="F234" s="6"/>
      <c r="H234" s="48"/>
      <c r="I234" s="70"/>
      <c r="J234" s="71"/>
      <c r="K234" s="71"/>
      <c r="L234" s="71"/>
      <c r="M234" s="6"/>
      <c r="N234" s="6"/>
      <c r="O234" s="6"/>
    </row>
    <row r="235" spans="2:15" s="5" customFormat="1" x14ac:dyDescent="0.3">
      <c r="B235" s="6"/>
      <c r="C235" s="6"/>
      <c r="D235" s="6"/>
      <c r="E235" s="48"/>
      <c r="F235" s="6"/>
      <c r="H235" s="48"/>
      <c r="I235" s="70"/>
      <c r="J235" s="71"/>
      <c r="K235" s="71"/>
      <c r="L235" s="71"/>
      <c r="M235" s="6"/>
      <c r="N235" s="6"/>
      <c r="O235" s="6"/>
    </row>
    <row r="236" spans="2:15" s="5" customFormat="1" x14ac:dyDescent="0.3">
      <c r="B236" s="6"/>
      <c r="C236" s="6"/>
      <c r="D236" s="6"/>
      <c r="E236" s="48"/>
      <c r="F236" s="6"/>
      <c r="H236" s="48"/>
      <c r="I236" s="70"/>
      <c r="J236" s="71"/>
      <c r="K236" s="71"/>
      <c r="L236" s="71"/>
      <c r="M236" s="6"/>
      <c r="N236" s="6"/>
      <c r="O236" s="6"/>
    </row>
    <row r="237" spans="2:15" s="5" customFormat="1" x14ac:dyDescent="0.3">
      <c r="B237" s="6"/>
      <c r="C237" s="6"/>
      <c r="D237" s="6"/>
      <c r="E237" s="48"/>
      <c r="F237" s="6"/>
      <c r="H237" s="48"/>
      <c r="I237" s="70"/>
      <c r="J237" s="71"/>
      <c r="K237" s="71"/>
      <c r="L237" s="71"/>
      <c r="M237" s="6"/>
      <c r="N237" s="6"/>
      <c r="O237" s="6"/>
    </row>
    <row r="238" spans="2:15" s="5" customFormat="1" x14ac:dyDescent="0.3">
      <c r="B238" s="6"/>
      <c r="C238" s="6"/>
      <c r="D238" s="6"/>
      <c r="E238" s="48"/>
      <c r="F238" s="6"/>
      <c r="H238" s="48"/>
      <c r="I238" s="70"/>
      <c r="J238" s="71"/>
      <c r="K238" s="71"/>
      <c r="L238" s="71"/>
      <c r="M238" s="6"/>
      <c r="N238" s="6"/>
      <c r="O238" s="6"/>
    </row>
    <row r="239" spans="2:15" s="5" customFormat="1" x14ac:dyDescent="0.3">
      <c r="B239" s="6"/>
      <c r="C239" s="6"/>
      <c r="D239" s="6"/>
      <c r="E239" s="48"/>
      <c r="F239" s="6"/>
      <c r="H239" s="48"/>
      <c r="I239" s="70"/>
      <c r="J239" s="71"/>
      <c r="K239" s="71"/>
      <c r="L239" s="71"/>
      <c r="M239" s="6"/>
      <c r="N239" s="6"/>
      <c r="O239" s="6"/>
    </row>
    <row r="240" spans="2:15" s="5" customFormat="1" x14ac:dyDescent="0.3">
      <c r="B240" s="6"/>
      <c r="C240" s="6"/>
      <c r="D240" s="6"/>
      <c r="E240" s="48"/>
      <c r="F240" s="6"/>
      <c r="H240" s="48"/>
      <c r="I240" s="70"/>
      <c r="J240" s="71"/>
      <c r="K240" s="71"/>
      <c r="L240" s="71"/>
      <c r="M240" s="6"/>
      <c r="N240" s="6"/>
      <c r="O240" s="6"/>
    </row>
    <row r="241" spans="2:15" s="5" customFormat="1" x14ac:dyDescent="0.3">
      <c r="B241" s="6"/>
      <c r="C241" s="6"/>
      <c r="D241" s="6"/>
      <c r="E241" s="48"/>
      <c r="F241" s="6"/>
      <c r="H241" s="48"/>
      <c r="I241" s="70"/>
      <c r="J241" s="71"/>
      <c r="K241" s="71"/>
      <c r="L241" s="71"/>
      <c r="M241" s="6"/>
      <c r="N241" s="6"/>
      <c r="O241" s="6"/>
    </row>
    <row r="242" spans="2:15" s="5" customFormat="1" x14ac:dyDescent="0.3">
      <c r="B242" s="6"/>
      <c r="C242" s="6"/>
      <c r="D242" s="6"/>
      <c r="E242" s="48"/>
      <c r="F242" s="6"/>
      <c r="H242" s="48"/>
      <c r="I242" s="70"/>
      <c r="J242" s="71"/>
      <c r="K242" s="71"/>
      <c r="L242" s="71"/>
      <c r="M242" s="6"/>
      <c r="N242" s="6"/>
      <c r="O242" s="6"/>
    </row>
    <row r="243" spans="2:15" s="5" customFormat="1" x14ac:dyDescent="0.3">
      <c r="B243" s="6"/>
      <c r="C243" s="6"/>
      <c r="D243" s="6"/>
      <c r="E243" s="48"/>
      <c r="F243" s="6"/>
      <c r="H243" s="48"/>
      <c r="I243" s="70"/>
      <c r="J243" s="71"/>
      <c r="K243" s="71"/>
      <c r="L243" s="71"/>
      <c r="M243" s="6"/>
      <c r="N243" s="6"/>
      <c r="O243" s="6"/>
    </row>
    <row r="244" spans="2:15" s="5" customFormat="1" x14ac:dyDescent="0.3">
      <c r="B244" s="6"/>
      <c r="C244" s="6"/>
      <c r="D244" s="6"/>
      <c r="E244" s="48"/>
      <c r="F244" s="6"/>
      <c r="H244" s="48"/>
      <c r="I244" s="70"/>
      <c r="J244" s="71"/>
      <c r="K244" s="71"/>
      <c r="L244" s="71"/>
      <c r="M244" s="6"/>
      <c r="N244" s="6"/>
      <c r="O244" s="6"/>
    </row>
    <row r="245" spans="2:15" x14ac:dyDescent="0.3">
      <c r="E245" s="48"/>
      <c r="H245" s="48"/>
      <c r="I245" s="71"/>
      <c r="J245" s="71"/>
      <c r="K245" s="71"/>
      <c r="L245" s="71"/>
    </row>
    <row r="246" spans="2:15" x14ac:dyDescent="0.3">
      <c r="E246" s="48"/>
      <c r="H246" s="48"/>
      <c r="I246" s="71"/>
      <c r="J246" s="71"/>
      <c r="K246" s="71"/>
      <c r="L246" s="71"/>
    </row>
    <row r="247" spans="2:15" x14ac:dyDescent="0.3">
      <c r="E247" s="48"/>
      <c r="H247" s="48"/>
      <c r="I247" s="71"/>
      <c r="J247" s="71"/>
      <c r="K247" s="71"/>
      <c r="L247" s="71"/>
    </row>
    <row r="248" spans="2:15" x14ac:dyDescent="0.3">
      <c r="E248" s="48"/>
      <c r="H248" s="48"/>
      <c r="I248" s="71"/>
      <c r="J248" s="71"/>
      <c r="K248" s="71"/>
      <c r="L248" s="71"/>
    </row>
    <row r="249" spans="2:15" x14ac:dyDescent="0.3">
      <c r="E249" s="48"/>
      <c r="F249" s="50"/>
      <c r="G249" s="51"/>
      <c r="H249" s="48"/>
      <c r="I249" s="70"/>
      <c r="J249" s="70"/>
      <c r="K249" s="71"/>
      <c r="L249" s="71"/>
    </row>
    <row r="250" spans="2:15" x14ac:dyDescent="0.3">
      <c r="E250" s="48"/>
      <c r="F250" s="50"/>
      <c r="G250" s="51"/>
      <c r="H250" s="48"/>
      <c r="I250" s="70"/>
      <c r="J250" s="70"/>
      <c r="K250" s="71"/>
      <c r="L250" s="71"/>
    </row>
    <row r="251" spans="2:15" x14ac:dyDescent="0.3">
      <c r="E251" s="48"/>
      <c r="F251" s="50"/>
      <c r="G251" s="51"/>
      <c r="H251" s="48"/>
      <c r="I251" s="70"/>
      <c r="J251" s="70"/>
      <c r="K251" s="71"/>
      <c r="L251" s="71"/>
    </row>
    <row r="252" spans="2:15" x14ac:dyDescent="0.3">
      <c r="E252" s="48"/>
      <c r="F252" s="50"/>
      <c r="G252" s="51"/>
      <c r="H252" s="48"/>
      <c r="I252" s="70"/>
      <c r="J252" s="70"/>
      <c r="K252" s="71"/>
      <c r="L252" s="71"/>
    </row>
    <row r="253" spans="2:15" x14ac:dyDescent="0.3">
      <c r="E253" s="48"/>
      <c r="F253" s="50"/>
      <c r="G253" s="51"/>
      <c r="H253" s="48"/>
      <c r="I253" s="70"/>
      <c r="J253" s="70"/>
      <c r="K253" s="71"/>
      <c r="L253" s="71"/>
    </row>
    <row r="254" spans="2:15" x14ac:dyDescent="0.3">
      <c r="E254" s="48"/>
      <c r="F254" s="50"/>
      <c r="G254" s="51"/>
      <c r="H254" s="48"/>
      <c r="I254" s="70"/>
      <c r="J254" s="70"/>
      <c r="K254" s="71"/>
      <c r="L254" s="71"/>
    </row>
    <row r="255" spans="2:15" x14ac:dyDescent="0.3">
      <c r="E255" s="48"/>
      <c r="F255" s="50"/>
      <c r="G255" s="51"/>
      <c r="H255" s="48"/>
      <c r="I255" s="70"/>
      <c r="J255" s="70"/>
      <c r="K255" s="71"/>
      <c r="L255" s="71"/>
    </row>
    <row r="256" spans="2:15" x14ac:dyDescent="0.3">
      <c r="E256" s="48"/>
      <c r="F256" s="50"/>
      <c r="G256" s="51"/>
      <c r="H256" s="48"/>
      <c r="I256" s="70"/>
      <c r="J256" s="70"/>
      <c r="K256" s="71"/>
      <c r="L256" s="71"/>
    </row>
    <row r="257" spans="5:12" x14ac:dyDescent="0.3">
      <c r="E257" s="48"/>
      <c r="F257" s="50"/>
      <c r="G257" s="51"/>
      <c r="H257" s="48"/>
      <c r="I257" s="70"/>
      <c r="J257" s="70"/>
      <c r="K257" s="71"/>
      <c r="L257" s="71"/>
    </row>
    <row r="258" spans="5:12" x14ac:dyDescent="0.3">
      <c r="E258" s="48"/>
      <c r="F258" s="50"/>
      <c r="G258" s="51"/>
      <c r="H258" s="48"/>
      <c r="I258" s="70"/>
      <c r="J258" s="70"/>
      <c r="K258" s="71"/>
      <c r="L258" s="71"/>
    </row>
    <row r="259" spans="5:12" x14ac:dyDescent="0.3">
      <c r="E259" s="48"/>
      <c r="F259" s="50"/>
      <c r="G259" s="51"/>
      <c r="H259" s="48"/>
      <c r="I259" s="70"/>
      <c r="J259" s="70"/>
      <c r="K259" s="71"/>
      <c r="L259" s="71"/>
    </row>
    <row r="260" spans="5:12" x14ac:dyDescent="0.3">
      <c r="E260" s="48"/>
      <c r="F260" s="50"/>
      <c r="G260" s="51"/>
      <c r="H260" s="48"/>
      <c r="I260" s="70"/>
      <c r="J260" s="70"/>
      <c r="K260" s="71"/>
      <c r="L260" s="71"/>
    </row>
    <row r="261" spans="5:12" x14ac:dyDescent="0.3">
      <c r="E261" s="48"/>
      <c r="F261" s="50"/>
      <c r="G261" s="51"/>
      <c r="H261" s="48"/>
      <c r="I261" s="70"/>
      <c r="J261" s="70"/>
      <c r="K261" s="71"/>
      <c r="L261" s="71"/>
    </row>
    <row r="262" spans="5:12" x14ac:dyDescent="0.3">
      <c r="E262" s="48"/>
      <c r="F262" s="50"/>
      <c r="G262" s="51"/>
      <c r="H262" s="48"/>
      <c r="I262" s="70"/>
      <c r="J262" s="70"/>
      <c r="K262" s="71"/>
      <c r="L262" s="71"/>
    </row>
    <row r="263" spans="5:12" x14ac:dyDescent="0.3">
      <c r="E263" s="48"/>
      <c r="F263" s="50"/>
      <c r="G263" s="51"/>
      <c r="H263" s="48"/>
      <c r="I263" s="70"/>
      <c r="J263" s="70"/>
      <c r="K263" s="71"/>
      <c r="L263" s="71"/>
    </row>
    <row r="264" spans="5:12" x14ac:dyDescent="0.3">
      <c r="E264" s="48"/>
      <c r="F264" s="50"/>
      <c r="G264" s="51"/>
      <c r="H264" s="48"/>
      <c r="I264" s="70"/>
      <c r="J264" s="70"/>
      <c r="K264" s="71"/>
      <c r="L264" s="71"/>
    </row>
    <row r="265" spans="5:12" x14ac:dyDescent="0.3">
      <c r="E265" s="48"/>
      <c r="F265" s="50"/>
      <c r="G265" s="51"/>
      <c r="H265" s="48"/>
      <c r="I265" s="70"/>
      <c r="J265" s="70"/>
      <c r="K265" s="71"/>
      <c r="L265" s="71"/>
    </row>
    <row r="266" spans="5:12" x14ac:dyDescent="0.3">
      <c r="E266" s="48"/>
      <c r="F266" s="50"/>
      <c r="G266" s="51"/>
      <c r="H266" s="48"/>
      <c r="I266" s="70"/>
      <c r="J266" s="70"/>
      <c r="K266" s="71"/>
      <c r="L266" s="71"/>
    </row>
    <row r="267" spans="5:12" x14ac:dyDescent="0.3">
      <c r="E267" s="48"/>
      <c r="F267" s="50"/>
      <c r="G267" s="51"/>
      <c r="H267" s="48"/>
      <c r="I267" s="70"/>
      <c r="J267" s="70"/>
      <c r="K267" s="71"/>
      <c r="L267" s="71"/>
    </row>
    <row r="268" spans="5:12" x14ac:dyDescent="0.3">
      <c r="E268" s="48"/>
      <c r="F268" s="50"/>
      <c r="G268" s="51"/>
      <c r="H268" s="48"/>
      <c r="I268" s="70"/>
      <c r="J268" s="70"/>
      <c r="K268" s="71"/>
      <c r="L268" s="71"/>
    </row>
    <row r="269" spans="5:12" x14ac:dyDescent="0.3">
      <c r="E269" s="48"/>
      <c r="F269" s="50"/>
      <c r="G269" s="51"/>
      <c r="H269" s="48"/>
      <c r="I269" s="70"/>
      <c r="J269" s="70"/>
      <c r="K269" s="71"/>
      <c r="L269" s="71"/>
    </row>
    <row r="270" spans="5:12" x14ac:dyDescent="0.3">
      <c r="E270" s="48"/>
      <c r="F270" s="50"/>
      <c r="G270" s="51"/>
      <c r="H270" s="48"/>
      <c r="I270" s="70"/>
      <c r="J270" s="70"/>
      <c r="K270" s="71"/>
      <c r="L270" s="71"/>
    </row>
    <row r="271" spans="5:12" x14ac:dyDescent="0.3">
      <c r="E271" s="48"/>
      <c r="F271" s="50"/>
      <c r="G271" s="51"/>
      <c r="H271" s="48"/>
      <c r="I271" s="70"/>
      <c r="J271" s="70"/>
      <c r="K271" s="71"/>
      <c r="L271" s="71"/>
    </row>
    <row r="272" spans="5:12" x14ac:dyDescent="0.3">
      <c r="E272" s="48"/>
      <c r="F272" s="50"/>
      <c r="G272" s="51"/>
      <c r="H272" s="48"/>
      <c r="I272" s="70"/>
      <c r="J272" s="70"/>
      <c r="K272" s="71"/>
      <c r="L272" s="71"/>
    </row>
    <row r="273" spans="5:12" x14ac:dyDescent="0.3">
      <c r="E273" s="48"/>
      <c r="F273" s="50"/>
      <c r="G273" s="51"/>
      <c r="H273" s="48"/>
      <c r="I273" s="70"/>
      <c r="J273" s="70"/>
      <c r="K273" s="71"/>
      <c r="L273" s="71"/>
    </row>
    <row r="274" spans="5:12" x14ac:dyDescent="0.3">
      <c r="E274" s="48"/>
      <c r="F274" s="50"/>
      <c r="G274" s="51"/>
      <c r="H274" s="48"/>
      <c r="I274" s="70"/>
      <c r="J274" s="70"/>
      <c r="K274" s="71"/>
      <c r="L274" s="71"/>
    </row>
    <row r="275" spans="5:12" x14ac:dyDescent="0.3">
      <c r="E275" s="48"/>
      <c r="F275" s="50"/>
      <c r="G275" s="51"/>
      <c r="H275" s="48"/>
      <c r="I275" s="70"/>
      <c r="J275" s="70"/>
      <c r="K275" s="71"/>
      <c r="L275" s="71"/>
    </row>
    <row r="276" spans="5:12" x14ac:dyDescent="0.3">
      <c r="E276" s="48"/>
      <c r="F276" s="50"/>
      <c r="G276" s="51"/>
      <c r="H276" s="48"/>
      <c r="I276" s="70"/>
      <c r="J276" s="70"/>
      <c r="K276" s="71"/>
      <c r="L276" s="71"/>
    </row>
    <row r="277" spans="5:12" x14ac:dyDescent="0.3">
      <c r="E277" s="48"/>
      <c r="F277" s="50"/>
      <c r="G277" s="51"/>
      <c r="H277" s="48"/>
      <c r="I277" s="70"/>
      <c r="J277" s="70"/>
      <c r="K277" s="71"/>
      <c r="L277" s="71"/>
    </row>
    <row r="278" spans="5:12" x14ac:dyDescent="0.3">
      <c r="E278" s="48"/>
      <c r="F278" s="50"/>
      <c r="G278" s="51"/>
      <c r="H278" s="48"/>
      <c r="I278" s="70"/>
      <c r="J278" s="70"/>
      <c r="K278" s="71"/>
      <c r="L278" s="71"/>
    </row>
    <row r="279" spans="5:12" x14ac:dyDescent="0.3">
      <c r="E279" s="48"/>
      <c r="F279" s="50"/>
      <c r="G279" s="51"/>
      <c r="H279" s="48"/>
      <c r="I279" s="70"/>
      <c r="J279" s="70"/>
      <c r="K279" s="71"/>
      <c r="L279" s="71"/>
    </row>
    <row r="280" spans="5:12" x14ac:dyDescent="0.3">
      <c r="E280" s="48"/>
      <c r="F280" s="50"/>
      <c r="G280" s="51"/>
      <c r="H280" s="48"/>
      <c r="I280" s="70"/>
      <c r="J280" s="70"/>
      <c r="K280" s="71"/>
      <c r="L280" s="71"/>
    </row>
    <row r="281" spans="5:12" x14ac:dyDescent="0.3">
      <c r="E281" s="48"/>
      <c r="F281" s="50"/>
      <c r="G281" s="51"/>
      <c r="H281" s="48"/>
      <c r="I281" s="70"/>
      <c r="J281" s="70"/>
      <c r="K281" s="71"/>
      <c r="L281" s="71"/>
    </row>
    <row r="282" spans="5:12" x14ac:dyDescent="0.3">
      <c r="E282" s="48"/>
      <c r="F282" s="50"/>
      <c r="G282" s="51"/>
      <c r="H282" s="48"/>
      <c r="I282" s="70"/>
      <c r="J282" s="70"/>
      <c r="K282" s="71"/>
      <c r="L282" s="71"/>
    </row>
    <row r="283" spans="5:12" x14ac:dyDescent="0.3">
      <c r="E283" s="48"/>
      <c r="F283" s="50"/>
      <c r="G283" s="51"/>
      <c r="H283" s="48"/>
      <c r="I283" s="70"/>
      <c r="J283" s="70"/>
      <c r="K283" s="71"/>
      <c r="L283" s="71"/>
    </row>
    <row r="284" spans="5:12" x14ac:dyDescent="0.3">
      <c r="E284" s="48"/>
      <c r="F284" s="50"/>
      <c r="G284" s="51"/>
      <c r="H284" s="48"/>
      <c r="I284" s="70"/>
      <c r="J284" s="70"/>
      <c r="K284" s="71"/>
      <c r="L284" s="71"/>
    </row>
    <row r="285" spans="5:12" x14ac:dyDescent="0.3">
      <c r="E285" s="48"/>
      <c r="F285" s="50"/>
      <c r="G285" s="51"/>
      <c r="H285" s="48"/>
      <c r="I285" s="70"/>
      <c r="J285" s="70"/>
      <c r="K285" s="71"/>
      <c r="L285" s="71"/>
    </row>
    <row r="286" spans="5:12" x14ac:dyDescent="0.3">
      <c r="E286" s="48"/>
      <c r="F286" s="50"/>
      <c r="G286" s="51"/>
      <c r="H286" s="48"/>
      <c r="I286" s="70"/>
      <c r="J286" s="70"/>
      <c r="K286" s="71"/>
      <c r="L286" s="71"/>
    </row>
    <row r="287" spans="5:12" x14ac:dyDescent="0.3">
      <c r="E287" s="48"/>
      <c r="F287" s="50"/>
      <c r="G287" s="51"/>
      <c r="H287" s="48"/>
      <c r="I287" s="70"/>
      <c r="J287" s="70"/>
      <c r="K287" s="71"/>
      <c r="L287" s="71"/>
    </row>
    <row r="288" spans="5:12" x14ac:dyDescent="0.3">
      <c r="E288" s="48"/>
      <c r="F288" s="50"/>
      <c r="G288" s="51"/>
      <c r="H288" s="48"/>
      <c r="I288" s="70"/>
      <c r="J288" s="70"/>
      <c r="K288" s="71"/>
      <c r="L288" s="71"/>
    </row>
    <row r="289" spans="5:12" x14ac:dyDescent="0.3">
      <c r="E289" s="48"/>
      <c r="F289" s="50"/>
      <c r="G289" s="51"/>
      <c r="H289" s="48"/>
      <c r="I289" s="70"/>
      <c r="J289" s="70"/>
      <c r="K289" s="71"/>
      <c r="L289" s="71"/>
    </row>
    <row r="290" spans="5:12" x14ac:dyDescent="0.3">
      <c r="E290" s="48"/>
      <c r="F290" s="50"/>
      <c r="G290" s="51"/>
      <c r="H290" s="48"/>
      <c r="I290" s="70"/>
      <c r="J290" s="70"/>
      <c r="K290" s="71"/>
      <c r="L290" s="71"/>
    </row>
    <row r="291" spans="5:12" x14ac:dyDescent="0.3">
      <c r="E291" s="48"/>
      <c r="F291" s="50"/>
      <c r="G291" s="51"/>
      <c r="H291" s="48"/>
      <c r="I291" s="70"/>
      <c r="J291" s="70"/>
      <c r="K291" s="71"/>
      <c r="L291" s="71"/>
    </row>
    <row r="292" spans="5:12" x14ac:dyDescent="0.3">
      <c r="E292" s="48"/>
      <c r="F292" s="50"/>
      <c r="G292" s="51"/>
      <c r="H292" s="48"/>
      <c r="I292" s="70"/>
      <c r="J292" s="70"/>
      <c r="K292" s="71"/>
      <c r="L292" s="71"/>
    </row>
    <row r="293" spans="5:12" x14ac:dyDescent="0.3">
      <c r="E293" s="48"/>
      <c r="F293" s="50"/>
      <c r="G293" s="51"/>
      <c r="H293" s="48"/>
      <c r="I293" s="70"/>
      <c r="J293" s="70"/>
      <c r="K293" s="71"/>
      <c r="L293" s="71"/>
    </row>
    <row r="294" spans="5:12" x14ac:dyDescent="0.3">
      <c r="E294" s="48"/>
      <c r="F294" s="50"/>
      <c r="G294" s="51"/>
      <c r="H294" s="48"/>
      <c r="I294" s="70"/>
      <c r="J294" s="70"/>
      <c r="K294" s="71"/>
      <c r="L294" s="71"/>
    </row>
    <row r="295" spans="5:12" x14ac:dyDescent="0.3">
      <c r="E295" s="48"/>
      <c r="F295" s="50"/>
      <c r="G295" s="51"/>
      <c r="H295" s="48"/>
      <c r="I295" s="70"/>
      <c r="J295" s="70"/>
      <c r="K295" s="71"/>
      <c r="L295" s="71"/>
    </row>
    <row r="296" spans="5:12" x14ac:dyDescent="0.3">
      <c r="E296" s="48"/>
      <c r="F296" s="50"/>
      <c r="G296" s="51"/>
      <c r="H296" s="48"/>
      <c r="I296" s="70"/>
      <c r="J296" s="70"/>
      <c r="K296" s="71"/>
      <c r="L296" s="71"/>
    </row>
    <row r="297" spans="5:12" x14ac:dyDescent="0.3">
      <c r="E297" s="48"/>
      <c r="F297" s="50"/>
      <c r="G297" s="51"/>
      <c r="H297" s="48"/>
      <c r="I297" s="70"/>
      <c r="J297" s="70"/>
      <c r="K297" s="71"/>
      <c r="L297" s="71"/>
    </row>
    <row r="298" spans="5:12" x14ac:dyDescent="0.3">
      <c r="E298" s="48"/>
      <c r="F298" s="50"/>
      <c r="G298" s="51"/>
      <c r="H298" s="48"/>
      <c r="I298" s="70"/>
      <c r="J298" s="70"/>
      <c r="K298" s="71"/>
      <c r="L298" s="71"/>
    </row>
    <row r="299" spans="5:12" x14ac:dyDescent="0.3">
      <c r="E299" s="48"/>
      <c r="F299" s="50"/>
      <c r="G299" s="51"/>
      <c r="H299" s="48"/>
      <c r="I299" s="70"/>
      <c r="J299" s="70"/>
      <c r="K299" s="71"/>
      <c r="L299" s="71"/>
    </row>
    <row r="300" spans="5:12" x14ac:dyDescent="0.3">
      <c r="E300" s="48"/>
      <c r="F300" s="50"/>
      <c r="G300" s="51"/>
      <c r="H300" s="48"/>
      <c r="I300" s="70"/>
      <c r="J300" s="70"/>
      <c r="K300" s="71"/>
      <c r="L300" s="71"/>
    </row>
    <row r="301" spans="5:12" x14ac:dyDescent="0.3">
      <c r="E301" s="48"/>
      <c r="F301" s="50"/>
      <c r="G301" s="51"/>
      <c r="H301" s="48"/>
      <c r="I301" s="70"/>
      <c r="J301" s="70"/>
      <c r="K301" s="71"/>
      <c r="L301" s="71"/>
    </row>
    <row r="302" spans="5:12" x14ac:dyDescent="0.3">
      <c r="E302" s="48"/>
      <c r="F302" s="50"/>
      <c r="G302" s="51"/>
      <c r="H302" s="48"/>
      <c r="I302" s="70"/>
      <c r="J302" s="70"/>
      <c r="K302" s="71"/>
      <c r="L302" s="71"/>
    </row>
    <row r="303" spans="5:12" x14ac:dyDescent="0.3">
      <c r="E303" s="48"/>
      <c r="F303" s="50"/>
      <c r="G303" s="51"/>
      <c r="H303" s="48"/>
      <c r="I303" s="70"/>
      <c r="J303" s="70"/>
      <c r="K303" s="71"/>
      <c r="L303" s="71"/>
    </row>
    <row r="304" spans="5:12" x14ac:dyDescent="0.3">
      <c r="F304" s="50"/>
      <c r="G304" s="51"/>
      <c r="H304" s="48"/>
      <c r="I304" s="70"/>
      <c r="J304" s="70"/>
      <c r="K304" s="71"/>
      <c r="L304" s="71"/>
    </row>
    <row r="305" spans="6:12" x14ac:dyDescent="0.3">
      <c r="F305" s="50"/>
      <c r="G305" s="51"/>
      <c r="H305" s="48"/>
      <c r="I305" s="70"/>
      <c r="J305" s="70"/>
      <c r="K305" s="71"/>
      <c r="L305" s="71"/>
    </row>
    <row r="306" spans="6:12" x14ac:dyDescent="0.3">
      <c r="F306" s="50"/>
      <c r="G306" s="51"/>
      <c r="H306" s="48"/>
      <c r="I306" s="70"/>
      <c r="J306" s="70"/>
      <c r="K306" s="71"/>
      <c r="L306" s="71"/>
    </row>
    <row r="307" spans="6:12" x14ac:dyDescent="0.3">
      <c r="F307" s="50"/>
      <c r="G307" s="51"/>
      <c r="H307" s="48"/>
      <c r="I307" s="70"/>
      <c r="J307" s="70"/>
      <c r="K307" s="71"/>
      <c r="L307" s="71"/>
    </row>
    <row r="308" spans="6:12" x14ac:dyDescent="0.3">
      <c r="F308" s="50"/>
      <c r="G308" s="51"/>
      <c r="H308" s="48"/>
      <c r="I308" s="70"/>
      <c r="J308" s="70"/>
      <c r="K308" s="71"/>
      <c r="L308" s="71"/>
    </row>
    <row r="309" spans="6:12" x14ac:dyDescent="0.3">
      <c r="F309" s="50"/>
      <c r="H309" s="48"/>
      <c r="I309" s="71"/>
      <c r="J309" s="71"/>
      <c r="K309" s="71"/>
      <c r="L309" s="71"/>
    </row>
    <row r="310" spans="6:12" x14ac:dyDescent="0.3">
      <c r="F310" s="50"/>
      <c r="G310" s="51"/>
      <c r="H310" s="48"/>
      <c r="I310" s="70"/>
      <c r="J310" s="70"/>
      <c r="K310" s="71"/>
      <c r="L310" s="71"/>
    </row>
    <row r="311" spans="6:12" x14ac:dyDescent="0.3">
      <c r="F311" s="50"/>
      <c r="H311" s="48"/>
      <c r="I311" s="71"/>
      <c r="J311" s="71"/>
      <c r="K311" s="71"/>
      <c r="L311" s="71"/>
    </row>
    <row r="312" spans="6:12" x14ac:dyDescent="0.3">
      <c r="F312" s="50"/>
      <c r="H312" s="48"/>
      <c r="I312" s="71"/>
      <c r="J312" s="71"/>
      <c r="K312" s="71"/>
      <c r="L312" s="71"/>
    </row>
    <row r="313" spans="6:12" x14ac:dyDescent="0.3">
      <c r="F313" s="50"/>
      <c r="G313" s="51"/>
      <c r="H313" s="48"/>
      <c r="I313" s="70"/>
      <c r="J313" s="70"/>
      <c r="K313" s="71"/>
      <c r="L313" s="71"/>
    </row>
    <row r="314" spans="6:12" x14ac:dyDescent="0.3">
      <c r="F314" s="50"/>
      <c r="G314" s="51"/>
      <c r="H314" s="48"/>
      <c r="I314" s="70"/>
      <c r="J314" s="70"/>
      <c r="K314" s="71"/>
      <c r="L314" s="71"/>
    </row>
    <row r="315" spans="6:12" x14ac:dyDescent="0.3">
      <c r="F315" s="50"/>
      <c r="G315" s="51"/>
      <c r="H315" s="48"/>
      <c r="I315" s="70"/>
      <c r="J315" s="70"/>
      <c r="K315" s="71"/>
      <c r="L315" s="71"/>
    </row>
    <row r="316" spans="6:12" x14ac:dyDescent="0.3">
      <c r="F316" s="50"/>
      <c r="G316" s="51"/>
      <c r="H316" s="48"/>
      <c r="I316" s="70"/>
      <c r="J316" s="70"/>
      <c r="K316" s="71"/>
      <c r="L316" s="71"/>
    </row>
    <row r="317" spans="6:12" x14ac:dyDescent="0.3">
      <c r="F317" s="50"/>
      <c r="G317" s="51"/>
      <c r="H317" s="48"/>
      <c r="I317" s="70"/>
      <c r="J317" s="70"/>
      <c r="K317" s="71"/>
      <c r="L317" s="71"/>
    </row>
    <row r="318" spans="6:12" x14ac:dyDescent="0.3">
      <c r="F318" s="50"/>
      <c r="G318" s="51"/>
      <c r="H318" s="48"/>
      <c r="I318" s="70"/>
      <c r="J318" s="70"/>
      <c r="K318" s="71"/>
      <c r="L318" s="71"/>
    </row>
    <row r="319" spans="6:12" x14ac:dyDescent="0.3">
      <c r="F319" s="50"/>
      <c r="G319" s="51"/>
      <c r="H319" s="48"/>
      <c r="I319" s="70"/>
      <c r="J319" s="70"/>
      <c r="K319" s="71"/>
      <c r="L319" s="71"/>
    </row>
    <row r="320" spans="6:12" x14ac:dyDescent="0.3">
      <c r="F320" s="50"/>
      <c r="G320" s="51"/>
      <c r="H320" s="48"/>
      <c r="I320" s="70"/>
      <c r="J320" s="70"/>
      <c r="K320" s="71"/>
      <c r="L320" s="71"/>
    </row>
    <row r="321" spans="6:12" x14ac:dyDescent="0.3">
      <c r="F321" s="50"/>
      <c r="G321" s="51"/>
      <c r="H321" s="48"/>
      <c r="I321" s="70"/>
      <c r="J321" s="70"/>
      <c r="K321" s="71"/>
      <c r="L321" s="71"/>
    </row>
    <row r="322" spans="6:12" x14ac:dyDescent="0.3">
      <c r="F322" s="50"/>
      <c r="G322" s="51"/>
      <c r="H322" s="48"/>
      <c r="I322" s="70"/>
      <c r="J322" s="70"/>
      <c r="K322" s="71"/>
      <c r="L322" s="71"/>
    </row>
    <row r="323" spans="6:12" x14ac:dyDescent="0.3">
      <c r="F323" s="50"/>
      <c r="G323" s="51"/>
      <c r="H323" s="48"/>
      <c r="I323" s="70"/>
      <c r="J323" s="70"/>
      <c r="K323" s="71"/>
      <c r="L323" s="71"/>
    </row>
    <row r="324" spans="6:12" x14ac:dyDescent="0.3">
      <c r="F324" s="50"/>
      <c r="G324" s="51"/>
      <c r="H324" s="48"/>
      <c r="I324" s="70"/>
      <c r="J324" s="70"/>
      <c r="K324" s="71"/>
      <c r="L324" s="71"/>
    </row>
    <row r="325" spans="6:12" x14ac:dyDescent="0.3">
      <c r="F325" s="50"/>
      <c r="G325" s="51"/>
      <c r="H325" s="48"/>
      <c r="I325" s="70"/>
      <c r="J325" s="70"/>
      <c r="K325" s="71"/>
      <c r="L325" s="71"/>
    </row>
    <row r="326" spans="6:12" x14ac:dyDescent="0.3">
      <c r="F326" s="50"/>
      <c r="G326" s="51"/>
      <c r="H326" s="48"/>
      <c r="I326" s="70"/>
      <c r="J326" s="70"/>
      <c r="K326" s="71"/>
      <c r="L326" s="71"/>
    </row>
    <row r="327" spans="6:12" x14ac:dyDescent="0.3">
      <c r="F327" s="50"/>
      <c r="G327" s="51"/>
      <c r="H327" s="48"/>
      <c r="I327" s="70"/>
      <c r="J327" s="70"/>
      <c r="K327" s="71"/>
      <c r="L327" s="71"/>
    </row>
    <row r="328" spans="6:12" x14ac:dyDescent="0.3">
      <c r="F328" s="50"/>
      <c r="G328" s="51"/>
      <c r="H328" s="48"/>
      <c r="I328" s="70"/>
      <c r="J328" s="70"/>
      <c r="K328" s="71"/>
      <c r="L328" s="71"/>
    </row>
    <row r="329" spans="6:12" x14ac:dyDescent="0.3">
      <c r="F329" s="50"/>
      <c r="G329" s="51"/>
      <c r="H329" s="48"/>
      <c r="I329" s="70"/>
      <c r="J329" s="70"/>
      <c r="K329" s="71"/>
      <c r="L329" s="71"/>
    </row>
    <row r="330" spans="6:12" x14ac:dyDescent="0.3">
      <c r="F330" s="50"/>
      <c r="G330" s="51"/>
      <c r="H330" s="48"/>
      <c r="I330" s="70"/>
      <c r="J330" s="70"/>
      <c r="K330" s="71"/>
      <c r="L330" s="71"/>
    </row>
    <row r="331" spans="6:12" x14ac:dyDescent="0.3">
      <c r="F331" s="50"/>
      <c r="G331" s="51"/>
      <c r="H331" s="48"/>
      <c r="I331" s="70"/>
      <c r="J331" s="70"/>
      <c r="K331" s="71"/>
      <c r="L331" s="71"/>
    </row>
    <row r="332" spans="6:12" x14ac:dyDescent="0.3">
      <c r="F332" s="50"/>
      <c r="G332" s="51"/>
      <c r="H332" s="48"/>
      <c r="I332" s="70"/>
      <c r="J332" s="70"/>
      <c r="K332" s="71"/>
      <c r="L332" s="71"/>
    </row>
    <row r="333" spans="6:12" x14ac:dyDescent="0.3">
      <c r="F333" s="50"/>
      <c r="G333" s="51"/>
      <c r="H333" s="48"/>
      <c r="I333" s="70"/>
      <c r="J333" s="70"/>
      <c r="K333" s="71"/>
      <c r="L333" s="71"/>
    </row>
    <row r="334" spans="6:12" x14ac:dyDescent="0.3">
      <c r="F334" s="50"/>
      <c r="G334" s="51"/>
      <c r="H334" s="48"/>
      <c r="I334" s="70"/>
      <c r="J334" s="70"/>
      <c r="K334" s="71"/>
      <c r="L334" s="71"/>
    </row>
    <row r="335" spans="6:12" x14ac:dyDescent="0.3">
      <c r="F335" s="50"/>
      <c r="G335" s="51"/>
      <c r="H335" s="48"/>
      <c r="I335" s="70"/>
      <c r="J335" s="70"/>
      <c r="K335" s="71"/>
      <c r="L335" s="71"/>
    </row>
    <row r="336" spans="6:12" x14ac:dyDescent="0.3">
      <c r="F336" s="50"/>
      <c r="G336" s="51"/>
      <c r="H336" s="48"/>
      <c r="I336" s="70"/>
      <c r="J336" s="70"/>
      <c r="K336" s="71"/>
      <c r="L336" s="71"/>
    </row>
    <row r="337" spans="6:12" x14ac:dyDescent="0.3">
      <c r="F337" s="50"/>
      <c r="G337" s="51"/>
      <c r="H337" s="48"/>
      <c r="I337" s="70"/>
      <c r="J337" s="70"/>
      <c r="K337" s="71"/>
      <c r="L337" s="71"/>
    </row>
    <row r="338" spans="6:12" x14ac:dyDescent="0.3">
      <c r="F338" s="50"/>
      <c r="G338" s="51"/>
      <c r="H338" s="48"/>
      <c r="I338" s="70"/>
      <c r="J338" s="70"/>
      <c r="K338" s="71"/>
      <c r="L338" s="71"/>
    </row>
    <row r="339" spans="6:12" x14ac:dyDescent="0.3">
      <c r="F339" s="50"/>
      <c r="G339" s="51"/>
      <c r="H339" s="48"/>
      <c r="I339" s="70"/>
      <c r="J339" s="70"/>
      <c r="K339" s="71"/>
      <c r="L339" s="71"/>
    </row>
    <row r="340" spans="6:12" x14ac:dyDescent="0.3">
      <c r="F340" s="50"/>
      <c r="G340" s="51"/>
      <c r="H340" s="48"/>
      <c r="I340" s="70"/>
      <c r="J340" s="70"/>
      <c r="K340" s="71"/>
      <c r="L340" s="71"/>
    </row>
    <row r="341" spans="6:12" x14ac:dyDescent="0.3">
      <c r="F341" s="50"/>
      <c r="G341" s="51"/>
      <c r="H341" s="48"/>
      <c r="I341" s="70"/>
      <c r="J341" s="70"/>
      <c r="K341" s="71"/>
      <c r="L341" s="71"/>
    </row>
    <row r="342" spans="6:12" x14ac:dyDescent="0.3">
      <c r="F342" s="50"/>
      <c r="G342" s="51"/>
      <c r="H342" s="48"/>
      <c r="I342" s="70"/>
      <c r="J342" s="70"/>
      <c r="K342" s="71"/>
      <c r="L342" s="71"/>
    </row>
    <row r="343" spans="6:12" x14ac:dyDescent="0.3">
      <c r="F343" s="50"/>
      <c r="G343" s="51"/>
      <c r="H343" s="48"/>
      <c r="I343" s="70"/>
      <c r="J343" s="70"/>
      <c r="K343" s="71"/>
      <c r="L343" s="71"/>
    </row>
    <row r="344" spans="6:12" x14ac:dyDescent="0.3">
      <c r="F344" s="50"/>
      <c r="G344" s="51"/>
      <c r="H344" s="48"/>
      <c r="I344" s="70"/>
      <c r="J344" s="70"/>
      <c r="K344" s="71"/>
      <c r="L344" s="71"/>
    </row>
    <row r="345" spans="6:12" x14ac:dyDescent="0.3">
      <c r="F345" s="50"/>
      <c r="G345" s="51"/>
      <c r="H345" s="48"/>
      <c r="I345" s="70"/>
      <c r="J345" s="70"/>
      <c r="K345" s="71"/>
      <c r="L345" s="71"/>
    </row>
    <row r="346" spans="6:12" x14ac:dyDescent="0.3">
      <c r="F346" s="50"/>
      <c r="G346" s="51"/>
      <c r="H346" s="48"/>
      <c r="I346" s="70"/>
      <c r="J346" s="70"/>
      <c r="K346" s="71"/>
      <c r="L346" s="71"/>
    </row>
    <row r="347" spans="6:12" x14ac:dyDescent="0.3">
      <c r="F347" s="50"/>
      <c r="G347" s="51"/>
      <c r="H347" s="48"/>
      <c r="I347" s="70"/>
      <c r="J347" s="70"/>
      <c r="K347" s="71"/>
      <c r="L347" s="71"/>
    </row>
    <row r="348" spans="6:12" x14ac:dyDescent="0.3">
      <c r="F348" s="50"/>
      <c r="G348" s="51"/>
      <c r="H348" s="48"/>
      <c r="I348" s="70"/>
      <c r="J348" s="70"/>
      <c r="K348" s="71"/>
      <c r="L348" s="71"/>
    </row>
    <row r="349" spans="6:12" x14ac:dyDescent="0.3">
      <c r="F349" s="50"/>
      <c r="G349" s="51"/>
      <c r="H349" s="48"/>
      <c r="I349" s="70"/>
      <c r="J349" s="70"/>
      <c r="K349" s="71"/>
      <c r="L349" s="71"/>
    </row>
    <row r="350" spans="6:12" x14ac:dyDescent="0.3">
      <c r="F350" s="50"/>
      <c r="G350" s="51"/>
      <c r="H350" s="48"/>
      <c r="I350" s="70"/>
      <c r="J350" s="70"/>
      <c r="K350" s="71"/>
      <c r="L350" s="71"/>
    </row>
    <row r="351" spans="6:12" x14ac:dyDescent="0.3">
      <c r="F351" s="50"/>
      <c r="G351" s="51"/>
      <c r="H351" s="48"/>
      <c r="I351" s="70"/>
      <c r="J351" s="70"/>
      <c r="K351" s="71"/>
      <c r="L351" s="71"/>
    </row>
    <row r="352" spans="6:12" x14ac:dyDescent="0.3">
      <c r="F352" s="50"/>
      <c r="G352" s="51"/>
      <c r="H352" s="48"/>
      <c r="I352" s="70"/>
      <c r="J352" s="70"/>
      <c r="K352" s="71"/>
      <c r="L352" s="71"/>
    </row>
    <row r="353" spans="6:12" x14ac:dyDescent="0.3">
      <c r="F353" s="50"/>
      <c r="G353" s="51"/>
      <c r="H353" s="48"/>
      <c r="I353" s="70"/>
      <c r="J353" s="70"/>
      <c r="K353" s="71"/>
      <c r="L353" s="71"/>
    </row>
    <row r="354" spans="6:12" x14ac:dyDescent="0.3">
      <c r="F354" s="50"/>
      <c r="G354" s="51"/>
      <c r="H354" s="48"/>
      <c r="I354" s="70"/>
      <c r="J354" s="70"/>
      <c r="K354" s="71"/>
      <c r="L354" s="71"/>
    </row>
    <row r="355" spans="6:12" x14ac:dyDescent="0.3">
      <c r="F355" s="50"/>
      <c r="G355" s="51"/>
      <c r="H355" s="48"/>
      <c r="I355" s="70"/>
      <c r="J355" s="70"/>
      <c r="K355" s="71"/>
      <c r="L355" s="71"/>
    </row>
    <row r="356" spans="6:12" x14ac:dyDescent="0.3">
      <c r="H356" s="48"/>
      <c r="I356" s="71"/>
      <c r="J356" s="71"/>
      <c r="K356" s="71"/>
      <c r="L356" s="71"/>
    </row>
    <row r="357" spans="6:12" x14ac:dyDescent="0.3">
      <c r="H357" s="48"/>
      <c r="I357" s="71"/>
      <c r="J357" s="71"/>
      <c r="K357" s="71"/>
      <c r="L357" s="71"/>
    </row>
    <row r="358" spans="6:12" x14ac:dyDescent="0.3">
      <c r="H358" s="48"/>
      <c r="I358" s="71"/>
      <c r="J358" s="71"/>
      <c r="K358" s="71"/>
      <c r="L358" s="71"/>
    </row>
    <row r="359" spans="6:12" x14ac:dyDescent="0.3">
      <c r="F359" s="52"/>
      <c r="G359" s="51"/>
      <c r="H359" s="48"/>
      <c r="I359" s="70"/>
      <c r="J359" s="70"/>
      <c r="K359" s="71"/>
      <c r="L359" s="71"/>
    </row>
    <row r="360" spans="6:12" x14ac:dyDescent="0.3">
      <c r="F360" s="52"/>
      <c r="G360" s="51"/>
      <c r="H360" s="48"/>
      <c r="I360" s="70"/>
      <c r="J360" s="70"/>
      <c r="K360" s="71"/>
      <c r="L360" s="71"/>
    </row>
    <row r="361" spans="6:12" x14ac:dyDescent="0.3">
      <c r="F361" s="52"/>
      <c r="G361" s="51"/>
      <c r="H361" s="48"/>
      <c r="I361" s="70"/>
      <c r="J361" s="70"/>
      <c r="K361" s="71"/>
      <c r="L361" s="71"/>
    </row>
    <row r="362" spans="6:12" x14ac:dyDescent="0.3">
      <c r="F362" s="52"/>
      <c r="G362" s="51"/>
      <c r="H362" s="48"/>
      <c r="I362" s="70"/>
      <c r="J362" s="70"/>
      <c r="K362" s="71"/>
      <c r="L362" s="71"/>
    </row>
    <row r="363" spans="6:12" x14ac:dyDescent="0.3">
      <c r="F363" s="52"/>
      <c r="G363" s="51"/>
      <c r="H363" s="48"/>
      <c r="I363" s="70"/>
      <c r="J363" s="70"/>
      <c r="K363" s="71"/>
      <c r="L363" s="71"/>
    </row>
    <row r="364" spans="6:12" x14ac:dyDescent="0.3">
      <c r="F364" s="52"/>
      <c r="G364" s="51"/>
      <c r="H364" s="48"/>
      <c r="I364" s="70"/>
      <c r="J364" s="70"/>
      <c r="K364" s="71"/>
      <c r="L364" s="71"/>
    </row>
    <row r="365" spans="6:12" x14ac:dyDescent="0.3">
      <c r="F365" s="52"/>
      <c r="G365" s="51"/>
      <c r="H365" s="48"/>
      <c r="I365" s="70"/>
      <c r="J365" s="70"/>
      <c r="K365" s="71"/>
      <c r="L365" s="71"/>
    </row>
    <row r="366" spans="6:12" x14ac:dyDescent="0.3">
      <c r="F366" s="52"/>
      <c r="G366" s="51"/>
      <c r="H366" s="48"/>
      <c r="I366" s="70"/>
      <c r="J366" s="70"/>
      <c r="K366" s="71"/>
      <c r="L366" s="71"/>
    </row>
    <row r="367" spans="6:12" x14ac:dyDescent="0.3">
      <c r="F367" s="52"/>
      <c r="G367" s="51"/>
      <c r="H367" s="48"/>
      <c r="I367" s="70"/>
      <c r="J367" s="70"/>
      <c r="K367" s="71"/>
      <c r="L367" s="71"/>
    </row>
    <row r="368" spans="6:12" x14ac:dyDescent="0.3">
      <c r="F368" s="52"/>
      <c r="G368" s="51"/>
      <c r="H368" s="48"/>
      <c r="I368" s="70"/>
      <c r="J368" s="70"/>
      <c r="K368" s="71"/>
      <c r="L368" s="71"/>
    </row>
    <row r="369" spans="6:12" x14ac:dyDescent="0.3">
      <c r="F369" s="52"/>
      <c r="G369" s="51"/>
      <c r="H369" s="48"/>
      <c r="I369" s="70"/>
      <c r="J369" s="70"/>
      <c r="K369" s="71"/>
      <c r="L369" s="71"/>
    </row>
    <row r="370" spans="6:12" x14ac:dyDescent="0.3">
      <c r="F370" s="52"/>
      <c r="G370" s="51"/>
      <c r="H370" s="48"/>
      <c r="I370" s="70"/>
      <c r="J370" s="70"/>
      <c r="K370" s="71"/>
      <c r="L370" s="71"/>
    </row>
    <row r="371" spans="6:12" x14ac:dyDescent="0.3">
      <c r="F371" s="52"/>
      <c r="G371" s="51"/>
      <c r="H371" s="48"/>
      <c r="I371" s="70"/>
      <c r="J371" s="70"/>
      <c r="K371" s="71"/>
      <c r="L371" s="71"/>
    </row>
    <row r="372" spans="6:12" x14ac:dyDescent="0.3">
      <c r="F372" s="52"/>
      <c r="G372" s="51"/>
      <c r="H372" s="48"/>
      <c r="I372" s="70"/>
      <c r="J372" s="70"/>
      <c r="K372" s="71"/>
      <c r="L372" s="71"/>
    </row>
    <row r="373" spans="6:12" x14ac:dyDescent="0.3">
      <c r="F373" s="52"/>
      <c r="G373" s="51"/>
      <c r="H373" s="48"/>
      <c r="I373" s="70"/>
      <c r="J373" s="70"/>
      <c r="K373" s="71"/>
      <c r="L373" s="71"/>
    </row>
    <row r="374" spans="6:12" x14ac:dyDescent="0.3">
      <c r="F374" s="52"/>
      <c r="G374" s="51"/>
      <c r="H374" s="48"/>
      <c r="I374" s="70"/>
      <c r="J374" s="70"/>
      <c r="K374" s="71"/>
      <c r="L374" s="71"/>
    </row>
    <row r="375" spans="6:12" x14ac:dyDescent="0.3">
      <c r="F375" s="52"/>
      <c r="G375" s="51"/>
      <c r="H375" s="48"/>
      <c r="I375" s="70"/>
      <c r="J375" s="70"/>
      <c r="K375" s="71"/>
      <c r="L375" s="71"/>
    </row>
    <row r="376" spans="6:12" x14ac:dyDescent="0.3">
      <c r="F376" s="52"/>
      <c r="G376" s="51"/>
      <c r="H376" s="48"/>
      <c r="I376" s="70"/>
      <c r="J376" s="70"/>
      <c r="K376" s="71"/>
      <c r="L376" s="71"/>
    </row>
    <row r="377" spans="6:12" x14ac:dyDescent="0.3">
      <c r="F377" s="52"/>
      <c r="G377" s="51"/>
      <c r="H377" s="48"/>
      <c r="I377" s="70"/>
      <c r="J377" s="70"/>
      <c r="K377" s="71"/>
      <c r="L377" s="71"/>
    </row>
    <row r="378" spans="6:12" x14ac:dyDescent="0.3">
      <c r="F378" s="52"/>
      <c r="G378" s="51"/>
      <c r="H378" s="48"/>
      <c r="I378" s="70"/>
      <c r="J378" s="70"/>
      <c r="K378" s="71"/>
      <c r="L378" s="71"/>
    </row>
    <row r="379" spans="6:12" x14ac:dyDescent="0.3">
      <c r="F379" s="52"/>
      <c r="G379" s="51"/>
      <c r="H379" s="48"/>
      <c r="I379" s="70"/>
      <c r="J379" s="70"/>
      <c r="K379" s="71"/>
      <c r="L379" s="71"/>
    </row>
    <row r="380" spans="6:12" x14ac:dyDescent="0.3">
      <c r="F380" s="52"/>
      <c r="G380" s="51"/>
      <c r="H380" s="48"/>
      <c r="I380" s="70"/>
      <c r="J380" s="70"/>
      <c r="K380" s="71"/>
      <c r="L380" s="71"/>
    </row>
    <row r="381" spans="6:12" x14ac:dyDescent="0.3">
      <c r="F381" s="52"/>
      <c r="G381" s="51"/>
      <c r="H381" s="48"/>
      <c r="I381" s="70"/>
      <c r="J381" s="70"/>
      <c r="K381" s="71"/>
      <c r="L381" s="71"/>
    </row>
    <row r="382" spans="6:12" x14ac:dyDescent="0.3">
      <c r="F382" s="52"/>
      <c r="G382" s="51"/>
      <c r="H382" s="48"/>
      <c r="I382" s="70"/>
      <c r="J382" s="70"/>
      <c r="K382" s="71"/>
      <c r="L382" s="71"/>
    </row>
    <row r="383" spans="6:12" x14ac:dyDescent="0.3">
      <c r="F383" s="52"/>
      <c r="G383" s="51"/>
      <c r="H383" s="48"/>
      <c r="I383" s="70"/>
      <c r="J383" s="70"/>
      <c r="K383" s="71"/>
      <c r="L383" s="71"/>
    </row>
    <row r="384" spans="6:12" x14ac:dyDescent="0.3">
      <c r="F384" s="52"/>
      <c r="G384" s="51"/>
      <c r="H384" s="48"/>
      <c r="I384" s="70"/>
      <c r="J384" s="70"/>
      <c r="K384" s="71"/>
      <c r="L384" s="71"/>
    </row>
    <row r="385" spans="6:12" x14ac:dyDescent="0.3">
      <c r="F385" s="52"/>
      <c r="G385" s="51"/>
      <c r="H385" s="48"/>
      <c r="I385" s="70"/>
      <c r="J385" s="70"/>
      <c r="K385" s="71"/>
      <c r="L385" s="71"/>
    </row>
    <row r="386" spans="6:12" x14ac:dyDescent="0.3">
      <c r="F386" s="52"/>
      <c r="G386" s="51"/>
      <c r="H386" s="48"/>
      <c r="I386" s="70"/>
      <c r="J386" s="70"/>
      <c r="K386" s="71"/>
      <c r="L386" s="71"/>
    </row>
    <row r="387" spans="6:12" x14ac:dyDescent="0.3">
      <c r="F387" s="52"/>
      <c r="G387" s="51"/>
      <c r="H387" s="48"/>
      <c r="I387" s="70"/>
      <c r="J387" s="70"/>
      <c r="K387" s="71"/>
      <c r="L387" s="71"/>
    </row>
    <row r="388" spans="6:12" x14ac:dyDescent="0.3">
      <c r="F388" s="52"/>
      <c r="G388" s="51"/>
      <c r="H388" s="48"/>
      <c r="I388" s="70"/>
      <c r="J388" s="70"/>
      <c r="K388" s="71"/>
      <c r="L388" s="71"/>
    </row>
    <row r="389" spans="6:12" x14ac:dyDescent="0.3">
      <c r="F389" s="52"/>
      <c r="G389" s="51"/>
      <c r="H389" s="48"/>
      <c r="I389" s="70"/>
      <c r="J389" s="70"/>
      <c r="K389" s="71"/>
      <c r="L389" s="71"/>
    </row>
    <row r="390" spans="6:12" x14ac:dyDescent="0.3">
      <c r="F390" s="52"/>
      <c r="G390" s="51"/>
      <c r="H390" s="48"/>
      <c r="I390" s="70"/>
      <c r="J390" s="70"/>
      <c r="K390" s="71"/>
      <c r="L390" s="71"/>
    </row>
    <row r="391" spans="6:12" x14ac:dyDescent="0.3">
      <c r="F391" s="52"/>
      <c r="G391" s="51"/>
      <c r="H391" s="48"/>
      <c r="I391" s="70"/>
      <c r="J391" s="70"/>
      <c r="K391" s="71"/>
      <c r="L391" s="71"/>
    </row>
    <row r="392" spans="6:12" x14ac:dyDescent="0.3">
      <c r="F392" s="52"/>
      <c r="G392" s="51"/>
      <c r="H392" s="48"/>
      <c r="I392" s="70"/>
      <c r="J392" s="70"/>
      <c r="K392" s="71"/>
      <c r="L392" s="71"/>
    </row>
    <row r="393" spans="6:12" x14ac:dyDescent="0.3">
      <c r="F393" s="52"/>
      <c r="G393" s="51"/>
      <c r="H393" s="48"/>
      <c r="I393" s="70"/>
      <c r="J393" s="70"/>
      <c r="K393" s="71"/>
      <c r="L393" s="71"/>
    </row>
    <row r="394" spans="6:12" x14ac:dyDescent="0.3">
      <c r="F394" s="52"/>
      <c r="G394" s="51"/>
      <c r="H394" s="48"/>
      <c r="I394" s="70"/>
      <c r="J394" s="70"/>
      <c r="K394" s="71"/>
      <c r="L394" s="71"/>
    </row>
    <row r="395" spans="6:12" x14ac:dyDescent="0.3">
      <c r="F395" s="52"/>
      <c r="G395" s="51"/>
      <c r="H395" s="48"/>
      <c r="I395" s="70"/>
      <c r="J395" s="70"/>
      <c r="K395" s="71"/>
      <c r="L395" s="71"/>
    </row>
    <row r="396" spans="6:12" x14ac:dyDescent="0.3">
      <c r="F396" s="52"/>
      <c r="G396" s="51"/>
      <c r="H396" s="48"/>
      <c r="I396" s="70"/>
      <c r="J396" s="70"/>
      <c r="K396" s="71"/>
      <c r="L396" s="71"/>
    </row>
    <row r="397" spans="6:12" x14ac:dyDescent="0.3">
      <c r="F397" s="52"/>
      <c r="G397" s="51"/>
      <c r="H397" s="48"/>
      <c r="I397" s="70"/>
      <c r="J397" s="70"/>
      <c r="K397" s="71"/>
      <c r="L397" s="71"/>
    </row>
    <row r="398" spans="6:12" x14ac:dyDescent="0.3">
      <c r="F398" s="52"/>
      <c r="G398" s="51"/>
      <c r="H398" s="48"/>
      <c r="I398" s="70"/>
      <c r="J398" s="70"/>
      <c r="K398" s="71"/>
      <c r="L398" s="71"/>
    </row>
    <row r="399" spans="6:12" x14ac:dyDescent="0.3">
      <c r="F399" s="52"/>
      <c r="G399" s="51"/>
      <c r="H399" s="48"/>
      <c r="I399" s="70"/>
      <c r="J399" s="70"/>
      <c r="K399" s="71"/>
      <c r="L399" s="71"/>
    </row>
    <row r="400" spans="6:12" x14ac:dyDescent="0.3">
      <c r="F400" s="52"/>
      <c r="G400" s="51"/>
      <c r="H400" s="48"/>
      <c r="I400" s="70"/>
      <c r="J400" s="70"/>
      <c r="K400" s="71"/>
      <c r="L400" s="71"/>
    </row>
    <row r="401" spans="6:12" x14ac:dyDescent="0.3">
      <c r="F401" s="52"/>
      <c r="G401" s="51"/>
      <c r="H401" s="48"/>
      <c r="I401" s="70"/>
      <c r="J401" s="70"/>
      <c r="K401" s="71"/>
      <c r="L401" s="71"/>
    </row>
    <row r="402" spans="6:12" x14ac:dyDescent="0.3">
      <c r="F402" s="52"/>
      <c r="G402" s="51"/>
      <c r="H402" s="48"/>
      <c r="I402" s="70"/>
      <c r="J402" s="70"/>
      <c r="K402" s="71"/>
      <c r="L402" s="71"/>
    </row>
    <row r="403" spans="6:12" x14ac:dyDescent="0.3">
      <c r="F403" s="52"/>
      <c r="G403" s="51"/>
      <c r="H403" s="48"/>
      <c r="I403" s="70"/>
      <c r="J403" s="70"/>
      <c r="K403" s="71"/>
      <c r="L403" s="71"/>
    </row>
    <row r="404" spans="6:12" x14ac:dyDescent="0.3">
      <c r="F404" s="52"/>
      <c r="G404" s="51"/>
      <c r="H404" s="48"/>
      <c r="I404" s="70"/>
      <c r="J404" s="70"/>
      <c r="K404" s="71"/>
      <c r="L404" s="71"/>
    </row>
    <row r="405" spans="6:12" x14ac:dyDescent="0.3">
      <c r="F405" s="52"/>
      <c r="G405" s="51"/>
      <c r="H405" s="48"/>
      <c r="I405" s="70"/>
      <c r="J405" s="70"/>
      <c r="K405" s="71"/>
      <c r="L405" s="71"/>
    </row>
    <row r="406" spans="6:12" x14ac:dyDescent="0.3">
      <c r="F406" s="52"/>
      <c r="G406" s="51"/>
      <c r="H406" s="48"/>
      <c r="I406" s="70"/>
      <c r="J406" s="70"/>
      <c r="K406" s="71"/>
      <c r="L406" s="71"/>
    </row>
    <row r="407" spans="6:12" x14ac:dyDescent="0.3">
      <c r="F407" s="52"/>
      <c r="G407" s="51"/>
      <c r="H407" s="48"/>
      <c r="I407" s="70"/>
      <c r="J407" s="70"/>
      <c r="K407" s="71"/>
      <c r="L407" s="71"/>
    </row>
    <row r="408" spans="6:12" x14ac:dyDescent="0.3">
      <c r="F408" s="52"/>
      <c r="G408" s="51"/>
      <c r="H408" s="48"/>
      <c r="I408" s="70"/>
      <c r="J408" s="70"/>
      <c r="K408" s="71"/>
      <c r="L408" s="71"/>
    </row>
    <row r="409" spans="6:12" x14ac:dyDescent="0.3">
      <c r="F409" s="52"/>
      <c r="G409" s="51"/>
      <c r="H409" s="48"/>
      <c r="I409" s="70"/>
      <c r="J409" s="70"/>
      <c r="K409" s="71"/>
      <c r="L409" s="71"/>
    </row>
    <row r="410" spans="6:12" x14ac:dyDescent="0.3">
      <c r="F410" s="52"/>
      <c r="G410" s="51"/>
      <c r="H410" s="48"/>
      <c r="I410" s="70"/>
      <c r="J410" s="70"/>
      <c r="K410" s="71"/>
      <c r="L410" s="71"/>
    </row>
    <row r="411" spans="6:12" x14ac:dyDescent="0.3">
      <c r="F411" s="52"/>
      <c r="G411" s="51"/>
      <c r="H411" s="48"/>
      <c r="I411" s="70"/>
      <c r="J411" s="70"/>
      <c r="K411" s="71"/>
      <c r="L411" s="71"/>
    </row>
    <row r="412" spans="6:12" x14ac:dyDescent="0.3">
      <c r="F412" s="52"/>
      <c r="G412" s="51"/>
      <c r="H412" s="48"/>
      <c r="I412" s="70"/>
      <c r="J412" s="70"/>
      <c r="K412" s="71"/>
      <c r="L412" s="71"/>
    </row>
    <row r="413" spans="6:12" x14ac:dyDescent="0.3">
      <c r="F413" s="52"/>
      <c r="G413" s="51"/>
      <c r="H413" s="48"/>
      <c r="I413" s="70"/>
      <c r="J413" s="70"/>
      <c r="K413" s="71"/>
      <c r="L413" s="71"/>
    </row>
    <row r="414" spans="6:12" x14ac:dyDescent="0.3">
      <c r="F414" s="52"/>
      <c r="G414" s="51"/>
      <c r="H414" s="48"/>
      <c r="I414" s="70"/>
      <c r="J414" s="70"/>
      <c r="K414" s="71"/>
      <c r="L414" s="71"/>
    </row>
    <row r="415" spans="6:12" x14ac:dyDescent="0.3">
      <c r="F415" s="52"/>
      <c r="G415" s="51"/>
      <c r="H415" s="48"/>
      <c r="I415" s="70"/>
      <c r="J415" s="70"/>
      <c r="K415" s="71"/>
      <c r="L415" s="71"/>
    </row>
    <row r="416" spans="6:12" x14ac:dyDescent="0.3">
      <c r="F416" s="52"/>
      <c r="G416" s="51"/>
      <c r="H416" s="48"/>
      <c r="I416" s="70"/>
      <c r="J416" s="70"/>
      <c r="K416" s="71"/>
      <c r="L416" s="71"/>
    </row>
    <row r="417" spans="6:12" x14ac:dyDescent="0.3">
      <c r="F417" s="52"/>
      <c r="G417" s="51"/>
      <c r="H417" s="48"/>
      <c r="I417" s="70"/>
      <c r="J417" s="70"/>
      <c r="K417" s="71"/>
      <c r="L417" s="71"/>
    </row>
    <row r="418" spans="6:12" x14ac:dyDescent="0.3">
      <c r="F418" s="52"/>
      <c r="G418" s="51"/>
      <c r="H418" s="48"/>
      <c r="I418" s="70"/>
      <c r="J418" s="70"/>
      <c r="K418" s="71"/>
      <c r="L418" s="71"/>
    </row>
    <row r="419" spans="6:12" x14ac:dyDescent="0.3">
      <c r="F419" s="52"/>
      <c r="G419" s="51"/>
      <c r="H419" s="48"/>
      <c r="I419" s="70"/>
      <c r="J419" s="70"/>
      <c r="K419" s="71"/>
      <c r="L419" s="71"/>
    </row>
    <row r="420" spans="6:12" x14ac:dyDescent="0.3">
      <c r="F420" s="52"/>
      <c r="G420" s="51"/>
      <c r="H420" s="48"/>
      <c r="I420" s="70"/>
      <c r="J420" s="70"/>
      <c r="K420" s="71"/>
      <c r="L420" s="71"/>
    </row>
    <row r="421" spans="6:12" x14ac:dyDescent="0.3">
      <c r="F421" s="52"/>
      <c r="G421" s="51"/>
      <c r="H421" s="48"/>
      <c r="I421" s="70"/>
      <c r="J421" s="70"/>
      <c r="K421" s="71"/>
      <c r="L421" s="71"/>
    </row>
    <row r="422" spans="6:12" x14ac:dyDescent="0.3">
      <c r="F422" s="52"/>
      <c r="G422" s="51"/>
      <c r="H422" s="48"/>
      <c r="I422" s="70"/>
      <c r="J422" s="70"/>
      <c r="K422" s="71"/>
      <c r="L422" s="71"/>
    </row>
    <row r="423" spans="6:12" x14ac:dyDescent="0.3">
      <c r="F423" s="52"/>
      <c r="G423" s="51"/>
      <c r="H423" s="48"/>
      <c r="I423" s="70"/>
      <c r="J423" s="70"/>
      <c r="K423" s="71"/>
      <c r="L423" s="71"/>
    </row>
    <row r="424" spans="6:12" x14ac:dyDescent="0.3">
      <c r="F424" s="52"/>
      <c r="G424" s="51"/>
      <c r="H424" s="48"/>
      <c r="I424" s="70"/>
      <c r="J424" s="70"/>
      <c r="K424" s="71"/>
      <c r="L424" s="71"/>
    </row>
    <row r="425" spans="6:12" x14ac:dyDescent="0.3">
      <c r="F425" s="52"/>
      <c r="G425" s="51"/>
      <c r="H425" s="48"/>
      <c r="I425" s="70"/>
      <c r="J425" s="70"/>
      <c r="K425" s="71"/>
      <c r="L425" s="71"/>
    </row>
    <row r="426" spans="6:12" x14ac:dyDescent="0.3">
      <c r="F426" s="52"/>
      <c r="G426" s="51"/>
      <c r="H426" s="48"/>
      <c r="I426" s="70"/>
      <c r="J426" s="70"/>
      <c r="K426" s="71"/>
      <c r="L426" s="71"/>
    </row>
    <row r="427" spans="6:12" x14ac:dyDescent="0.3">
      <c r="F427" s="52"/>
      <c r="G427" s="51"/>
      <c r="H427" s="48"/>
      <c r="I427" s="70"/>
      <c r="J427" s="70"/>
      <c r="K427" s="71"/>
      <c r="L427" s="71"/>
    </row>
    <row r="428" spans="6:12" x14ac:dyDescent="0.3">
      <c r="F428" s="52"/>
      <c r="G428" s="51"/>
      <c r="H428" s="48"/>
      <c r="I428" s="70"/>
      <c r="J428" s="70"/>
      <c r="K428" s="71"/>
      <c r="L428" s="71"/>
    </row>
    <row r="429" spans="6:12" x14ac:dyDescent="0.3">
      <c r="F429" s="52"/>
      <c r="G429" s="51"/>
      <c r="H429" s="48"/>
      <c r="I429" s="70"/>
      <c r="J429" s="70"/>
      <c r="K429" s="71"/>
      <c r="L429" s="71"/>
    </row>
    <row r="430" spans="6:12" x14ac:dyDescent="0.3">
      <c r="F430" s="52"/>
      <c r="G430" s="51"/>
      <c r="H430" s="48"/>
      <c r="I430" s="70"/>
      <c r="J430" s="70"/>
      <c r="K430" s="71"/>
      <c r="L430" s="71"/>
    </row>
    <row r="431" spans="6:12" x14ac:dyDescent="0.3">
      <c r="F431" s="52"/>
      <c r="G431" s="51"/>
      <c r="H431" s="48"/>
      <c r="I431" s="70"/>
      <c r="J431" s="70"/>
      <c r="K431" s="71"/>
      <c r="L431" s="71"/>
    </row>
    <row r="432" spans="6:12" x14ac:dyDescent="0.3">
      <c r="F432" s="52"/>
      <c r="G432" s="51"/>
      <c r="H432" s="48"/>
      <c r="I432" s="70"/>
      <c r="J432" s="70"/>
      <c r="K432" s="71"/>
      <c r="L432" s="71"/>
    </row>
    <row r="433" spans="6:12" x14ac:dyDescent="0.3">
      <c r="F433" s="52"/>
      <c r="G433" s="51"/>
      <c r="H433" s="48"/>
      <c r="I433" s="70"/>
      <c r="J433" s="70"/>
      <c r="K433" s="71"/>
      <c r="L433" s="71"/>
    </row>
    <row r="434" spans="6:12" x14ac:dyDescent="0.3">
      <c r="F434" s="52"/>
      <c r="G434" s="51"/>
      <c r="H434" s="48"/>
      <c r="I434" s="70"/>
      <c r="J434" s="70"/>
      <c r="K434" s="71"/>
      <c r="L434" s="71"/>
    </row>
    <row r="435" spans="6:12" x14ac:dyDescent="0.3">
      <c r="F435" s="52"/>
      <c r="G435" s="51"/>
      <c r="H435" s="48"/>
      <c r="I435" s="70"/>
      <c r="J435" s="70"/>
      <c r="K435" s="71"/>
      <c r="L435" s="71"/>
    </row>
    <row r="436" spans="6:12" x14ac:dyDescent="0.3">
      <c r="F436" s="52"/>
      <c r="G436" s="51"/>
      <c r="H436" s="48"/>
      <c r="I436" s="70"/>
      <c r="J436" s="70"/>
      <c r="K436" s="71"/>
      <c r="L436" s="71"/>
    </row>
    <row r="437" spans="6:12" x14ac:dyDescent="0.3">
      <c r="F437" s="52"/>
      <c r="G437" s="51"/>
      <c r="H437" s="48"/>
      <c r="I437" s="70"/>
      <c r="J437" s="70"/>
      <c r="K437" s="71"/>
      <c r="L437" s="71"/>
    </row>
    <row r="438" spans="6:12" x14ac:dyDescent="0.3">
      <c r="F438" s="52"/>
      <c r="G438" s="51"/>
      <c r="H438" s="48"/>
      <c r="I438" s="70"/>
      <c r="J438" s="70"/>
      <c r="K438" s="71"/>
      <c r="L438" s="71"/>
    </row>
    <row r="439" spans="6:12" x14ac:dyDescent="0.3">
      <c r="F439" s="52"/>
      <c r="G439" s="51"/>
      <c r="H439" s="48"/>
      <c r="I439" s="70"/>
      <c r="J439" s="70"/>
      <c r="K439" s="71"/>
      <c r="L439" s="71"/>
    </row>
    <row r="440" spans="6:12" x14ac:dyDescent="0.3">
      <c r="F440" s="52"/>
      <c r="G440" s="51"/>
      <c r="H440" s="48"/>
      <c r="I440" s="70"/>
      <c r="J440" s="70"/>
      <c r="K440" s="71"/>
      <c r="L440" s="71"/>
    </row>
    <row r="441" spans="6:12" x14ac:dyDescent="0.3">
      <c r="F441" s="52"/>
      <c r="G441" s="51"/>
      <c r="H441" s="48"/>
      <c r="I441" s="70"/>
      <c r="J441" s="70"/>
      <c r="K441" s="71"/>
      <c r="L441" s="71"/>
    </row>
    <row r="442" spans="6:12" x14ac:dyDescent="0.3">
      <c r="F442" s="52"/>
      <c r="G442" s="51"/>
      <c r="H442" s="48"/>
      <c r="I442" s="70"/>
      <c r="J442" s="70"/>
      <c r="K442" s="71"/>
      <c r="L442" s="71"/>
    </row>
    <row r="443" spans="6:12" x14ac:dyDescent="0.3">
      <c r="F443" s="52"/>
      <c r="G443" s="51"/>
      <c r="H443" s="48"/>
      <c r="I443" s="70"/>
      <c r="J443" s="70"/>
      <c r="K443" s="71"/>
      <c r="L443" s="71"/>
    </row>
    <row r="444" spans="6:12" x14ac:dyDescent="0.3">
      <c r="F444" s="52"/>
      <c r="G444" s="51"/>
      <c r="H444" s="48"/>
      <c r="I444" s="70"/>
      <c r="J444" s="70"/>
      <c r="K444" s="71"/>
      <c r="L444" s="71"/>
    </row>
    <row r="445" spans="6:12" x14ac:dyDescent="0.3">
      <c r="F445" s="52"/>
      <c r="G445" s="51"/>
      <c r="H445" s="48"/>
      <c r="I445" s="70"/>
      <c r="J445" s="70"/>
      <c r="K445" s="71"/>
      <c r="L445" s="71"/>
    </row>
    <row r="446" spans="6:12" x14ac:dyDescent="0.3">
      <c r="F446" s="52"/>
      <c r="G446" s="51"/>
      <c r="H446" s="48"/>
      <c r="I446" s="70"/>
      <c r="J446" s="70"/>
      <c r="K446" s="71"/>
      <c r="L446" s="71"/>
    </row>
    <row r="447" spans="6:12" x14ac:dyDescent="0.3">
      <c r="F447" s="52"/>
      <c r="G447" s="51"/>
      <c r="H447" s="48"/>
      <c r="I447" s="70"/>
      <c r="J447" s="70"/>
      <c r="K447" s="71"/>
      <c r="L447" s="71"/>
    </row>
    <row r="448" spans="6:12" x14ac:dyDescent="0.3">
      <c r="F448" s="52"/>
      <c r="G448" s="51"/>
      <c r="H448" s="48"/>
      <c r="I448" s="70"/>
      <c r="J448" s="70"/>
      <c r="K448" s="71"/>
      <c r="L448" s="71"/>
    </row>
    <row r="449" spans="6:12" x14ac:dyDescent="0.3">
      <c r="F449" s="52"/>
      <c r="G449" s="51"/>
      <c r="H449" s="48"/>
      <c r="I449" s="70"/>
      <c r="J449" s="70"/>
      <c r="K449" s="71"/>
      <c r="L449" s="71"/>
    </row>
    <row r="450" spans="6:12" x14ac:dyDescent="0.3">
      <c r="F450" s="52"/>
      <c r="G450" s="51"/>
      <c r="H450" s="48"/>
      <c r="I450" s="70"/>
      <c r="J450" s="70"/>
      <c r="K450" s="71"/>
      <c r="L450" s="71"/>
    </row>
    <row r="451" spans="6:12" x14ac:dyDescent="0.3">
      <c r="F451" s="52"/>
      <c r="G451" s="51"/>
      <c r="H451" s="48"/>
      <c r="I451" s="70"/>
      <c r="J451" s="70"/>
      <c r="K451" s="71"/>
      <c r="L451" s="71"/>
    </row>
    <row r="452" spans="6:12" x14ac:dyDescent="0.3">
      <c r="F452" s="52"/>
      <c r="G452" s="51"/>
      <c r="H452" s="48"/>
      <c r="I452" s="70"/>
      <c r="J452" s="70"/>
      <c r="K452" s="71"/>
      <c r="L452" s="71"/>
    </row>
    <row r="453" spans="6:12" x14ac:dyDescent="0.3">
      <c r="F453" s="52"/>
      <c r="G453" s="51"/>
      <c r="H453" s="48"/>
      <c r="I453" s="70"/>
      <c r="J453" s="70"/>
      <c r="K453" s="71"/>
      <c r="L453" s="71"/>
    </row>
    <row r="454" spans="6:12" x14ac:dyDescent="0.3">
      <c r="F454" s="52"/>
      <c r="G454" s="51"/>
      <c r="H454" s="48"/>
      <c r="I454" s="70"/>
      <c r="J454" s="70"/>
      <c r="K454" s="71"/>
      <c r="L454" s="71"/>
    </row>
    <row r="455" spans="6:12" x14ac:dyDescent="0.3">
      <c r="F455" s="52"/>
      <c r="G455" s="51"/>
      <c r="H455" s="48"/>
      <c r="I455" s="70"/>
      <c r="J455" s="70"/>
      <c r="K455" s="71"/>
      <c r="L455" s="71"/>
    </row>
    <row r="456" spans="6:12" x14ac:dyDescent="0.3">
      <c r="F456" s="52"/>
      <c r="G456" s="51"/>
      <c r="H456" s="48"/>
      <c r="I456" s="70"/>
      <c r="J456" s="70"/>
      <c r="K456" s="71"/>
      <c r="L456" s="71"/>
    </row>
    <row r="457" spans="6:12" x14ac:dyDescent="0.3">
      <c r="F457" s="52"/>
      <c r="G457" s="51"/>
      <c r="H457" s="48"/>
      <c r="I457" s="70"/>
      <c r="J457" s="70"/>
      <c r="K457" s="71"/>
      <c r="L457" s="71"/>
    </row>
    <row r="458" spans="6:12" x14ac:dyDescent="0.3">
      <c r="F458" s="52"/>
      <c r="G458" s="51"/>
      <c r="H458" s="48"/>
      <c r="I458" s="70"/>
      <c r="J458" s="70"/>
      <c r="K458" s="71"/>
      <c r="L458" s="71"/>
    </row>
    <row r="459" spans="6:12" x14ac:dyDescent="0.3">
      <c r="F459" s="52"/>
      <c r="G459" s="51"/>
      <c r="H459" s="48"/>
      <c r="I459" s="70"/>
      <c r="J459" s="70"/>
      <c r="K459" s="71"/>
      <c r="L459" s="71"/>
    </row>
    <row r="460" spans="6:12" x14ac:dyDescent="0.3">
      <c r="F460" s="52"/>
      <c r="G460" s="51"/>
      <c r="H460" s="48"/>
      <c r="I460" s="70"/>
      <c r="J460" s="70"/>
      <c r="K460" s="71"/>
      <c r="L460" s="71"/>
    </row>
    <row r="461" spans="6:12" x14ac:dyDescent="0.3">
      <c r="F461" s="52"/>
      <c r="G461" s="51"/>
      <c r="H461" s="48"/>
      <c r="I461" s="70"/>
      <c r="J461" s="70"/>
      <c r="K461" s="71"/>
      <c r="L461" s="71"/>
    </row>
    <row r="462" spans="6:12" x14ac:dyDescent="0.3">
      <c r="F462" s="52"/>
      <c r="G462" s="51"/>
      <c r="H462" s="48"/>
      <c r="I462" s="70"/>
      <c r="J462" s="70"/>
      <c r="K462" s="71"/>
      <c r="L462" s="71"/>
    </row>
    <row r="463" spans="6:12" x14ac:dyDescent="0.3">
      <c r="F463" s="52"/>
      <c r="G463" s="51"/>
      <c r="H463" s="48"/>
      <c r="I463" s="70"/>
      <c r="J463" s="70"/>
      <c r="K463" s="71"/>
      <c r="L463" s="71"/>
    </row>
    <row r="464" spans="6:12" x14ac:dyDescent="0.3">
      <c r="F464" s="52"/>
      <c r="G464" s="51"/>
      <c r="H464" s="48"/>
      <c r="I464" s="70"/>
      <c r="J464" s="70"/>
      <c r="K464" s="71"/>
      <c r="L464" s="71"/>
    </row>
    <row r="465" spans="6:12" x14ac:dyDescent="0.3">
      <c r="F465" s="52"/>
      <c r="G465" s="51"/>
      <c r="H465" s="48"/>
      <c r="I465" s="70"/>
      <c r="J465" s="70"/>
      <c r="K465" s="71"/>
      <c r="L465" s="71"/>
    </row>
    <row r="466" spans="6:12" x14ac:dyDescent="0.3">
      <c r="F466" s="52"/>
      <c r="G466" s="51"/>
      <c r="H466" s="48"/>
      <c r="I466" s="70"/>
      <c r="J466" s="70"/>
      <c r="K466" s="71"/>
      <c r="L466" s="71"/>
    </row>
    <row r="467" spans="6:12" x14ac:dyDescent="0.3">
      <c r="F467" s="52"/>
      <c r="G467" s="51"/>
      <c r="H467" s="48"/>
      <c r="I467" s="70"/>
      <c r="J467" s="70"/>
      <c r="K467" s="71"/>
      <c r="L467" s="71"/>
    </row>
    <row r="468" spans="6:12" x14ac:dyDescent="0.3">
      <c r="F468" s="52"/>
      <c r="G468" s="51"/>
      <c r="H468" s="48"/>
      <c r="I468" s="70"/>
      <c r="J468" s="70"/>
      <c r="K468" s="71"/>
      <c r="L468" s="71"/>
    </row>
    <row r="469" spans="6:12" x14ac:dyDescent="0.3">
      <c r="F469" s="52"/>
      <c r="G469" s="51"/>
      <c r="H469" s="48"/>
      <c r="I469" s="70"/>
      <c r="J469" s="70"/>
      <c r="K469" s="71"/>
      <c r="L469" s="71"/>
    </row>
    <row r="470" spans="6:12" x14ac:dyDescent="0.3">
      <c r="F470" s="52"/>
      <c r="G470" s="51"/>
      <c r="H470" s="48"/>
      <c r="I470" s="70"/>
      <c r="J470" s="70"/>
      <c r="K470" s="71"/>
      <c r="L470" s="71"/>
    </row>
    <row r="471" spans="6:12" x14ac:dyDescent="0.3">
      <c r="F471" s="52"/>
      <c r="G471" s="51"/>
      <c r="H471" s="48"/>
      <c r="I471" s="70"/>
      <c r="J471" s="70"/>
      <c r="K471" s="71"/>
      <c r="L471" s="71"/>
    </row>
    <row r="472" spans="6:12" x14ac:dyDescent="0.3">
      <c r="F472" s="52"/>
      <c r="G472" s="51"/>
      <c r="H472" s="48"/>
      <c r="I472" s="70"/>
      <c r="J472" s="70"/>
      <c r="K472" s="71"/>
      <c r="L472" s="71"/>
    </row>
    <row r="473" spans="6:12" x14ac:dyDescent="0.3">
      <c r="F473" s="52"/>
      <c r="G473" s="51"/>
      <c r="H473" s="48"/>
      <c r="I473" s="70"/>
      <c r="J473" s="70"/>
      <c r="K473" s="71"/>
      <c r="L473" s="71"/>
    </row>
    <row r="474" spans="6:12" x14ac:dyDescent="0.3">
      <c r="F474" s="52"/>
      <c r="G474" s="51"/>
      <c r="H474" s="48"/>
      <c r="I474" s="70"/>
      <c r="J474" s="70"/>
      <c r="K474" s="71"/>
      <c r="L474" s="71"/>
    </row>
    <row r="475" spans="6:12" x14ac:dyDescent="0.3">
      <c r="F475" s="52"/>
      <c r="G475" s="51"/>
      <c r="H475" s="48"/>
      <c r="I475" s="70"/>
      <c r="J475" s="70"/>
      <c r="K475" s="71"/>
      <c r="L475" s="71"/>
    </row>
    <row r="476" spans="6:12" x14ac:dyDescent="0.3">
      <c r="F476" s="52"/>
      <c r="G476" s="51"/>
      <c r="H476" s="48"/>
      <c r="I476" s="70"/>
      <c r="J476" s="70"/>
      <c r="K476" s="71"/>
      <c r="L476" s="71"/>
    </row>
    <row r="477" spans="6:12" x14ac:dyDescent="0.3">
      <c r="F477" s="52"/>
      <c r="G477" s="51"/>
      <c r="H477" s="48"/>
      <c r="I477" s="70"/>
      <c r="J477" s="70"/>
      <c r="K477" s="71"/>
      <c r="L477" s="71"/>
    </row>
    <row r="478" spans="6:12" x14ac:dyDescent="0.3">
      <c r="F478" s="52"/>
      <c r="G478" s="51"/>
      <c r="H478" s="48"/>
      <c r="I478" s="70"/>
      <c r="J478" s="70"/>
      <c r="K478" s="71"/>
      <c r="L478" s="71"/>
    </row>
    <row r="479" spans="6:12" x14ac:dyDescent="0.3">
      <c r="F479" s="52"/>
      <c r="G479" s="51"/>
      <c r="H479" s="48"/>
      <c r="I479" s="70"/>
      <c r="J479" s="70"/>
      <c r="K479" s="71"/>
      <c r="L479" s="71"/>
    </row>
    <row r="480" spans="6:12" x14ac:dyDescent="0.3">
      <c r="F480" s="52"/>
      <c r="G480" s="51"/>
      <c r="H480" s="48"/>
      <c r="I480" s="70"/>
      <c r="J480" s="70"/>
      <c r="K480" s="71"/>
      <c r="L480" s="71"/>
    </row>
    <row r="481" spans="6:12" x14ac:dyDescent="0.3">
      <c r="F481" s="52"/>
      <c r="G481" s="51"/>
      <c r="H481" s="48"/>
      <c r="I481" s="70"/>
      <c r="J481" s="70"/>
      <c r="K481" s="71"/>
      <c r="L481" s="71"/>
    </row>
    <row r="482" spans="6:12" x14ac:dyDescent="0.3">
      <c r="F482" s="52"/>
      <c r="G482" s="51"/>
      <c r="H482" s="48"/>
      <c r="I482" s="70"/>
      <c r="J482" s="70"/>
      <c r="K482" s="71"/>
      <c r="L482" s="71"/>
    </row>
    <row r="483" spans="6:12" x14ac:dyDescent="0.3">
      <c r="F483" s="52"/>
      <c r="G483" s="51"/>
      <c r="H483" s="48"/>
      <c r="I483" s="70"/>
      <c r="J483" s="70"/>
      <c r="K483" s="71"/>
      <c r="L483" s="71"/>
    </row>
    <row r="484" spans="6:12" x14ac:dyDescent="0.3">
      <c r="F484" s="52"/>
      <c r="G484" s="51"/>
      <c r="H484" s="48"/>
      <c r="I484" s="70"/>
      <c r="J484" s="70"/>
      <c r="K484" s="71"/>
      <c r="L484" s="71"/>
    </row>
    <row r="485" spans="6:12" x14ac:dyDescent="0.3">
      <c r="F485" s="52"/>
      <c r="G485" s="51"/>
      <c r="H485" s="48"/>
      <c r="I485" s="70"/>
      <c r="J485" s="70"/>
      <c r="K485" s="71"/>
      <c r="L485" s="71"/>
    </row>
    <row r="486" spans="6:12" x14ac:dyDescent="0.3">
      <c r="F486" s="52"/>
      <c r="G486" s="51"/>
      <c r="H486" s="48"/>
      <c r="I486" s="70"/>
      <c r="J486" s="70"/>
      <c r="K486" s="71"/>
      <c r="L486" s="71"/>
    </row>
    <row r="487" spans="6:12" x14ac:dyDescent="0.3">
      <c r="F487" s="52"/>
      <c r="G487" s="51"/>
      <c r="H487" s="48"/>
      <c r="I487" s="70"/>
      <c r="J487" s="70"/>
      <c r="K487" s="71"/>
      <c r="L487" s="71"/>
    </row>
    <row r="488" spans="6:12" x14ac:dyDescent="0.3">
      <c r="F488" s="52"/>
      <c r="G488" s="51"/>
      <c r="H488" s="48"/>
      <c r="I488" s="70"/>
      <c r="J488" s="70"/>
      <c r="K488" s="71"/>
      <c r="L488" s="71"/>
    </row>
    <row r="489" spans="6:12" x14ac:dyDescent="0.3">
      <c r="F489" s="52"/>
      <c r="G489" s="51"/>
      <c r="H489" s="48"/>
      <c r="I489" s="70"/>
      <c r="J489" s="70"/>
      <c r="K489" s="71"/>
      <c r="L489" s="71"/>
    </row>
    <row r="490" spans="6:12" x14ac:dyDescent="0.3">
      <c r="F490" s="52"/>
      <c r="G490" s="51"/>
      <c r="H490" s="48"/>
      <c r="I490" s="70"/>
      <c r="J490" s="70"/>
      <c r="K490" s="71"/>
      <c r="L490" s="71"/>
    </row>
    <row r="491" spans="6:12" x14ac:dyDescent="0.3">
      <c r="F491" s="52"/>
      <c r="G491" s="51"/>
      <c r="H491" s="48"/>
      <c r="I491" s="70"/>
      <c r="J491" s="70"/>
      <c r="K491" s="71"/>
      <c r="L491" s="71"/>
    </row>
    <row r="492" spans="6:12" x14ac:dyDescent="0.3">
      <c r="F492" s="52"/>
      <c r="G492" s="51"/>
      <c r="H492" s="48"/>
      <c r="I492" s="70"/>
      <c r="J492" s="70"/>
      <c r="K492" s="71"/>
      <c r="L492" s="71"/>
    </row>
    <row r="493" spans="6:12" x14ac:dyDescent="0.3">
      <c r="F493" s="52"/>
      <c r="G493" s="51"/>
      <c r="H493" s="48"/>
      <c r="I493" s="70"/>
      <c r="J493" s="70"/>
      <c r="K493" s="71"/>
      <c r="L493" s="71"/>
    </row>
    <row r="494" spans="6:12" x14ac:dyDescent="0.3">
      <c r="F494" s="52"/>
      <c r="G494" s="51"/>
      <c r="H494" s="48"/>
      <c r="I494" s="70"/>
      <c r="J494" s="70"/>
      <c r="K494" s="71"/>
      <c r="L494" s="71"/>
    </row>
    <row r="495" spans="6:12" x14ac:dyDescent="0.3">
      <c r="F495" s="52"/>
      <c r="G495" s="51"/>
      <c r="H495" s="48"/>
      <c r="I495" s="70"/>
      <c r="J495" s="70"/>
      <c r="K495" s="71"/>
      <c r="L495" s="71"/>
    </row>
    <row r="496" spans="6:12" x14ac:dyDescent="0.3">
      <c r="F496" s="52"/>
      <c r="G496" s="51"/>
      <c r="H496" s="48"/>
      <c r="I496" s="70"/>
      <c r="J496" s="70"/>
      <c r="K496" s="71"/>
      <c r="L496" s="71"/>
    </row>
    <row r="497" spans="6:12" x14ac:dyDescent="0.3">
      <c r="F497" s="52"/>
      <c r="G497" s="51"/>
      <c r="H497" s="48"/>
      <c r="I497" s="70"/>
      <c r="J497" s="70"/>
      <c r="K497" s="71"/>
      <c r="L497" s="71"/>
    </row>
    <row r="498" spans="6:12" x14ac:dyDescent="0.3">
      <c r="F498" s="52"/>
      <c r="G498" s="51"/>
      <c r="H498" s="48"/>
      <c r="I498" s="70"/>
      <c r="J498" s="70"/>
      <c r="K498" s="71"/>
      <c r="L498" s="71"/>
    </row>
    <row r="499" spans="6:12" x14ac:dyDescent="0.3">
      <c r="F499" s="52"/>
      <c r="G499" s="51"/>
      <c r="H499" s="48"/>
      <c r="I499" s="70"/>
      <c r="J499" s="70"/>
      <c r="K499" s="71"/>
      <c r="L499" s="71"/>
    </row>
    <row r="500" spans="6:12" x14ac:dyDescent="0.3">
      <c r="F500" s="52"/>
      <c r="G500" s="51"/>
      <c r="H500" s="48"/>
      <c r="I500" s="70"/>
      <c r="J500" s="70"/>
      <c r="K500" s="71"/>
      <c r="L500" s="71"/>
    </row>
    <row r="501" spans="6:12" x14ac:dyDescent="0.3">
      <c r="F501" s="52"/>
      <c r="G501" s="51"/>
      <c r="H501" s="48"/>
      <c r="I501" s="70"/>
      <c r="J501" s="70"/>
      <c r="K501" s="71"/>
      <c r="L501" s="71"/>
    </row>
    <row r="502" spans="6:12" x14ac:dyDescent="0.3">
      <c r="F502" s="52"/>
      <c r="G502" s="51"/>
      <c r="H502" s="48"/>
      <c r="I502" s="70"/>
      <c r="J502" s="70"/>
      <c r="K502" s="71"/>
      <c r="L502" s="71"/>
    </row>
    <row r="503" spans="6:12" x14ac:dyDescent="0.3">
      <c r="F503" s="52"/>
      <c r="G503" s="51"/>
      <c r="H503" s="48"/>
      <c r="I503" s="70"/>
      <c r="J503" s="70"/>
      <c r="K503" s="71"/>
      <c r="L503" s="71"/>
    </row>
    <row r="504" spans="6:12" x14ac:dyDescent="0.3">
      <c r="F504" s="52"/>
      <c r="G504" s="51"/>
      <c r="H504" s="48"/>
      <c r="I504" s="70"/>
      <c r="J504" s="70"/>
      <c r="K504" s="71"/>
      <c r="L504" s="71"/>
    </row>
    <row r="505" spans="6:12" x14ac:dyDescent="0.3">
      <c r="F505" s="52"/>
      <c r="G505" s="51"/>
      <c r="H505" s="48"/>
      <c r="I505" s="70"/>
      <c r="J505" s="70"/>
      <c r="K505" s="71"/>
      <c r="L505" s="71"/>
    </row>
    <row r="506" spans="6:12" x14ac:dyDescent="0.3">
      <c r="F506" s="52"/>
      <c r="G506" s="51"/>
      <c r="H506" s="48"/>
      <c r="I506" s="70"/>
      <c r="J506" s="70"/>
      <c r="K506" s="71"/>
      <c r="L506" s="71"/>
    </row>
    <row r="507" spans="6:12" x14ac:dyDescent="0.3">
      <c r="F507" s="52"/>
      <c r="G507" s="51"/>
      <c r="H507" s="48"/>
      <c r="I507" s="70"/>
      <c r="J507" s="70"/>
      <c r="K507" s="71"/>
      <c r="L507" s="71"/>
    </row>
    <row r="508" spans="6:12" x14ac:dyDescent="0.3">
      <c r="F508" s="52"/>
      <c r="G508" s="51"/>
      <c r="H508" s="48"/>
      <c r="I508" s="70"/>
      <c r="J508" s="70"/>
      <c r="K508" s="71"/>
      <c r="L508" s="71"/>
    </row>
    <row r="509" spans="6:12" x14ac:dyDescent="0.3">
      <c r="F509" s="52"/>
      <c r="G509" s="51"/>
      <c r="H509" s="48"/>
      <c r="I509" s="70"/>
      <c r="J509" s="70"/>
      <c r="K509" s="71"/>
      <c r="L509" s="71"/>
    </row>
    <row r="510" spans="6:12" x14ac:dyDescent="0.3">
      <c r="F510" s="52"/>
      <c r="G510" s="51"/>
      <c r="H510" s="48"/>
      <c r="I510" s="70"/>
      <c r="J510" s="70"/>
      <c r="K510" s="71"/>
      <c r="L510" s="71"/>
    </row>
    <row r="511" spans="6:12" x14ac:dyDescent="0.3">
      <c r="F511" s="52"/>
      <c r="G511" s="51"/>
      <c r="H511" s="48"/>
      <c r="I511" s="70"/>
      <c r="J511" s="70"/>
      <c r="K511" s="71"/>
      <c r="L511" s="71"/>
    </row>
    <row r="512" spans="6:12" x14ac:dyDescent="0.3">
      <c r="F512" s="52"/>
      <c r="G512" s="51"/>
      <c r="H512" s="48"/>
      <c r="I512" s="70"/>
      <c r="J512" s="70"/>
      <c r="K512" s="71"/>
      <c r="L512" s="71"/>
    </row>
    <row r="513" spans="6:12" x14ac:dyDescent="0.3">
      <c r="F513" s="52"/>
      <c r="G513" s="51"/>
      <c r="H513" s="48"/>
      <c r="I513" s="70"/>
      <c r="J513" s="70"/>
      <c r="K513" s="71"/>
      <c r="L513" s="71"/>
    </row>
    <row r="514" spans="6:12" x14ac:dyDescent="0.3">
      <c r="F514" s="52"/>
      <c r="G514" s="51"/>
      <c r="H514" s="48"/>
      <c r="I514" s="70"/>
      <c r="J514" s="70"/>
      <c r="K514" s="71"/>
      <c r="L514" s="71"/>
    </row>
    <row r="515" spans="6:12" x14ac:dyDescent="0.3">
      <c r="F515" s="52"/>
      <c r="G515" s="51"/>
      <c r="H515" s="48"/>
      <c r="I515" s="70"/>
      <c r="J515" s="70"/>
      <c r="K515" s="71"/>
      <c r="L515" s="71"/>
    </row>
    <row r="516" spans="6:12" x14ac:dyDescent="0.3">
      <c r="F516" s="52"/>
      <c r="G516" s="51"/>
      <c r="H516" s="48"/>
      <c r="I516" s="70"/>
      <c r="J516" s="70"/>
      <c r="K516" s="71"/>
      <c r="L516" s="71"/>
    </row>
    <row r="517" spans="6:12" x14ac:dyDescent="0.3">
      <c r="F517" s="52"/>
      <c r="G517" s="51"/>
      <c r="H517" s="48"/>
      <c r="I517" s="70"/>
      <c r="J517" s="70"/>
      <c r="K517" s="71"/>
      <c r="L517" s="71"/>
    </row>
    <row r="518" spans="6:12" x14ac:dyDescent="0.3">
      <c r="F518" s="52"/>
      <c r="G518" s="51"/>
      <c r="H518" s="48"/>
      <c r="I518" s="70"/>
      <c r="J518" s="70"/>
      <c r="K518" s="71"/>
      <c r="L518" s="71"/>
    </row>
    <row r="519" spans="6:12" x14ac:dyDescent="0.3">
      <c r="F519" s="52"/>
      <c r="G519" s="51"/>
      <c r="H519" s="48"/>
      <c r="I519" s="70"/>
      <c r="J519" s="70"/>
      <c r="K519" s="71"/>
      <c r="L519" s="71"/>
    </row>
    <row r="520" spans="6:12" x14ac:dyDescent="0.3">
      <c r="F520" s="52"/>
      <c r="G520" s="51"/>
      <c r="H520" s="48"/>
      <c r="I520" s="70"/>
      <c r="J520" s="70"/>
      <c r="K520" s="71"/>
      <c r="L520" s="71"/>
    </row>
    <row r="521" spans="6:12" x14ac:dyDescent="0.3">
      <c r="F521" s="52"/>
      <c r="G521" s="51"/>
      <c r="H521" s="48"/>
      <c r="I521" s="70"/>
      <c r="J521" s="70"/>
      <c r="K521" s="71"/>
      <c r="L521" s="71"/>
    </row>
    <row r="522" spans="6:12" x14ac:dyDescent="0.3">
      <c r="F522" s="52"/>
      <c r="G522" s="51"/>
      <c r="H522" s="48"/>
      <c r="I522" s="70"/>
      <c r="J522" s="70"/>
      <c r="K522" s="71"/>
      <c r="L522" s="71"/>
    </row>
    <row r="523" spans="6:12" x14ac:dyDescent="0.3">
      <c r="F523" s="52"/>
      <c r="G523" s="51"/>
      <c r="H523" s="48"/>
      <c r="I523" s="70"/>
      <c r="J523" s="70"/>
      <c r="K523" s="71"/>
      <c r="L523" s="71"/>
    </row>
    <row r="524" spans="6:12" x14ac:dyDescent="0.3">
      <c r="F524" s="52"/>
      <c r="G524" s="51"/>
      <c r="H524" s="48"/>
      <c r="I524" s="70"/>
      <c r="J524" s="70"/>
      <c r="K524" s="71"/>
      <c r="L524" s="71"/>
    </row>
    <row r="525" spans="6:12" x14ac:dyDescent="0.3">
      <c r="F525" s="52"/>
      <c r="G525" s="51"/>
      <c r="H525" s="48"/>
      <c r="I525" s="70"/>
      <c r="J525" s="70"/>
      <c r="K525" s="71"/>
      <c r="L525" s="71"/>
    </row>
    <row r="526" spans="6:12" x14ac:dyDescent="0.3">
      <c r="F526" s="52"/>
      <c r="G526" s="51"/>
      <c r="H526" s="48"/>
      <c r="I526" s="70"/>
      <c r="J526" s="70"/>
      <c r="K526" s="71"/>
      <c r="L526" s="71"/>
    </row>
    <row r="527" spans="6:12" x14ac:dyDescent="0.3">
      <c r="F527" s="52"/>
      <c r="G527" s="51"/>
      <c r="H527" s="48"/>
      <c r="I527" s="70"/>
      <c r="J527" s="70"/>
      <c r="K527" s="71"/>
      <c r="L527" s="71"/>
    </row>
    <row r="528" spans="6:12" x14ac:dyDescent="0.3">
      <c r="F528" s="52"/>
      <c r="G528" s="51"/>
      <c r="H528" s="48"/>
      <c r="I528" s="70"/>
      <c r="J528" s="70"/>
      <c r="K528" s="71"/>
      <c r="L528" s="71"/>
    </row>
    <row r="529" spans="6:12" x14ac:dyDescent="0.3">
      <c r="F529" s="52"/>
      <c r="G529" s="51"/>
      <c r="H529" s="48"/>
      <c r="I529" s="70"/>
      <c r="J529" s="70"/>
      <c r="K529" s="71"/>
      <c r="L529" s="71"/>
    </row>
    <row r="530" spans="6:12" x14ac:dyDescent="0.3">
      <c r="F530" s="52"/>
      <c r="G530" s="51"/>
      <c r="H530" s="48"/>
      <c r="I530" s="70"/>
      <c r="J530" s="70"/>
      <c r="K530" s="71"/>
      <c r="L530" s="71"/>
    </row>
    <row r="531" spans="6:12" x14ac:dyDescent="0.3">
      <c r="F531" s="52"/>
      <c r="G531" s="51"/>
      <c r="H531" s="48"/>
      <c r="I531" s="70"/>
      <c r="J531" s="70"/>
      <c r="K531" s="71"/>
      <c r="L531" s="71"/>
    </row>
    <row r="532" spans="6:12" x14ac:dyDescent="0.3">
      <c r="F532" s="52"/>
      <c r="G532" s="51"/>
      <c r="H532" s="48"/>
      <c r="I532" s="70"/>
      <c r="J532" s="70"/>
      <c r="K532" s="71"/>
      <c r="L532" s="71"/>
    </row>
    <row r="533" spans="6:12" x14ac:dyDescent="0.3">
      <c r="F533" s="52"/>
      <c r="G533" s="51"/>
      <c r="H533" s="48"/>
      <c r="I533" s="70"/>
      <c r="J533" s="70"/>
      <c r="K533" s="71"/>
      <c r="L533" s="71"/>
    </row>
    <row r="534" spans="6:12" x14ac:dyDescent="0.3">
      <c r="F534" s="52"/>
      <c r="G534" s="51"/>
      <c r="H534" s="48"/>
      <c r="I534" s="70"/>
      <c r="J534" s="70"/>
      <c r="K534" s="71"/>
      <c r="L534" s="71"/>
    </row>
    <row r="535" spans="6:12" x14ac:dyDescent="0.3">
      <c r="F535" s="52"/>
      <c r="G535" s="51"/>
      <c r="H535" s="48"/>
      <c r="I535" s="70"/>
      <c r="J535" s="70"/>
      <c r="K535" s="71"/>
      <c r="L535" s="71"/>
    </row>
    <row r="536" spans="6:12" x14ac:dyDescent="0.3">
      <c r="F536" s="52"/>
      <c r="G536" s="51"/>
      <c r="H536" s="48"/>
      <c r="I536" s="70"/>
      <c r="J536" s="70"/>
      <c r="K536" s="71"/>
      <c r="L536" s="71"/>
    </row>
    <row r="537" spans="6:12" x14ac:dyDescent="0.3">
      <c r="F537" s="52"/>
      <c r="G537" s="51"/>
      <c r="H537" s="48"/>
      <c r="I537" s="70"/>
      <c r="J537" s="70"/>
      <c r="K537" s="71"/>
      <c r="L537" s="71"/>
    </row>
    <row r="538" spans="6:12" x14ac:dyDescent="0.3">
      <c r="F538" s="52"/>
      <c r="G538" s="51"/>
      <c r="H538" s="48"/>
      <c r="I538" s="70"/>
      <c r="J538" s="70"/>
      <c r="K538" s="71"/>
      <c r="L538" s="71"/>
    </row>
    <row r="539" spans="6:12" x14ac:dyDescent="0.3">
      <c r="F539" s="52"/>
      <c r="G539" s="51"/>
      <c r="H539" s="48"/>
      <c r="I539" s="70"/>
      <c r="J539" s="70"/>
      <c r="K539" s="71"/>
      <c r="L539" s="71"/>
    </row>
    <row r="540" spans="6:12" x14ac:dyDescent="0.3">
      <c r="F540" s="52"/>
      <c r="G540" s="51"/>
      <c r="H540" s="48"/>
      <c r="I540" s="70"/>
      <c r="J540" s="70"/>
      <c r="K540" s="71"/>
      <c r="L540" s="71"/>
    </row>
    <row r="541" spans="6:12" x14ac:dyDescent="0.3">
      <c r="F541" s="52"/>
      <c r="G541" s="51"/>
      <c r="H541" s="48"/>
      <c r="I541" s="70"/>
      <c r="J541" s="70"/>
      <c r="K541" s="71"/>
      <c r="L541" s="71"/>
    </row>
    <row r="542" spans="6:12" x14ac:dyDescent="0.3">
      <c r="F542" s="52"/>
      <c r="G542" s="51"/>
      <c r="H542" s="48"/>
      <c r="I542" s="70"/>
      <c r="J542" s="70"/>
      <c r="K542" s="71"/>
      <c r="L542" s="71"/>
    </row>
    <row r="543" spans="6:12" x14ac:dyDescent="0.3">
      <c r="F543" s="52"/>
      <c r="G543" s="51"/>
      <c r="H543" s="48"/>
      <c r="I543" s="70"/>
      <c r="J543" s="70"/>
      <c r="K543" s="71"/>
      <c r="L543" s="71"/>
    </row>
    <row r="544" spans="6:12" x14ac:dyDescent="0.3">
      <c r="F544" s="52"/>
      <c r="G544" s="51"/>
      <c r="H544" s="48"/>
      <c r="I544" s="70"/>
      <c r="J544" s="70"/>
      <c r="K544" s="71"/>
      <c r="L544" s="71"/>
    </row>
    <row r="545" spans="6:12" x14ac:dyDescent="0.3">
      <c r="F545" s="52"/>
      <c r="G545" s="51"/>
      <c r="H545" s="48"/>
      <c r="I545" s="70"/>
      <c r="J545" s="70"/>
      <c r="K545" s="71"/>
      <c r="L545" s="71"/>
    </row>
    <row r="546" spans="6:12" x14ac:dyDescent="0.3">
      <c r="F546" s="52"/>
      <c r="G546" s="51"/>
      <c r="H546" s="48"/>
      <c r="I546" s="70"/>
      <c r="J546" s="70"/>
      <c r="K546" s="71"/>
      <c r="L546" s="71"/>
    </row>
    <row r="547" spans="6:12" x14ac:dyDescent="0.3">
      <c r="F547" s="52"/>
      <c r="G547" s="51"/>
      <c r="H547" s="48"/>
      <c r="I547" s="70"/>
      <c r="J547" s="70"/>
      <c r="K547" s="71"/>
      <c r="L547" s="71"/>
    </row>
    <row r="548" spans="6:12" x14ac:dyDescent="0.3">
      <c r="F548" s="52"/>
      <c r="G548" s="51"/>
      <c r="H548" s="48"/>
      <c r="I548" s="70"/>
      <c r="J548" s="70"/>
      <c r="K548" s="71"/>
      <c r="L548" s="71"/>
    </row>
    <row r="549" spans="6:12" x14ac:dyDescent="0.3">
      <c r="F549" s="52"/>
      <c r="G549" s="51"/>
      <c r="H549" s="48"/>
      <c r="I549" s="70"/>
      <c r="J549" s="70"/>
      <c r="K549" s="71"/>
      <c r="L549" s="71"/>
    </row>
    <row r="550" spans="6:12" x14ac:dyDescent="0.3">
      <c r="F550" s="52"/>
      <c r="G550" s="51"/>
      <c r="H550" s="48"/>
      <c r="I550" s="70"/>
      <c r="J550" s="70"/>
      <c r="K550" s="71"/>
      <c r="L550" s="71"/>
    </row>
    <row r="551" spans="6:12" x14ac:dyDescent="0.3">
      <c r="F551" s="52"/>
      <c r="G551" s="51"/>
      <c r="H551" s="48"/>
      <c r="I551" s="70"/>
      <c r="J551" s="70"/>
      <c r="K551" s="71"/>
      <c r="L551" s="71"/>
    </row>
    <row r="552" spans="6:12" x14ac:dyDescent="0.3">
      <c r="F552" s="52"/>
      <c r="G552" s="51"/>
      <c r="H552" s="48"/>
      <c r="I552" s="70"/>
      <c r="J552" s="70"/>
      <c r="K552" s="71"/>
      <c r="L552" s="71"/>
    </row>
    <row r="553" spans="6:12" x14ac:dyDescent="0.3">
      <c r="F553" s="52"/>
      <c r="G553" s="51"/>
      <c r="H553" s="48"/>
      <c r="I553" s="70"/>
      <c r="J553" s="70"/>
      <c r="K553" s="71"/>
      <c r="L553" s="71"/>
    </row>
    <row r="554" spans="6:12" x14ac:dyDescent="0.3">
      <c r="F554" s="52"/>
      <c r="G554" s="51"/>
      <c r="H554" s="48"/>
      <c r="I554" s="70"/>
      <c r="J554" s="70"/>
      <c r="K554" s="71"/>
      <c r="L554" s="71"/>
    </row>
    <row r="555" spans="6:12" x14ac:dyDescent="0.3">
      <c r="F555" s="52"/>
      <c r="G555" s="51"/>
      <c r="H555" s="48"/>
      <c r="I555" s="70"/>
      <c r="J555" s="70"/>
      <c r="K555" s="71"/>
      <c r="L555" s="71"/>
    </row>
    <row r="556" spans="6:12" x14ac:dyDescent="0.3">
      <c r="F556" s="52"/>
      <c r="G556" s="51"/>
      <c r="H556" s="48"/>
      <c r="I556" s="70"/>
      <c r="J556" s="70"/>
      <c r="K556" s="71"/>
      <c r="L556" s="71"/>
    </row>
    <row r="557" spans="6:12" x14ac:dyDescent="0.3">
      <c r="F557" s="52"/>
      <c r="G557" s="51"/>
      <c r="H557" s="48"/>
      <c r="I557" s="70"/>
      <c r="J557" s="70"/>
      <c r="K557" s="71"/>
      <c r="L557" s="71"/>
    </row>
    <row r="558" spans="6:12" x14ac:dyDescent="0.3">
      <c r="F558" s="52"/>
      <c r="G558" s="51"/>
      <c r="H558" s="48"/>
      <c r="I558" s="70"/>
      <c r="J558" s="70"/>
      <c r="K558" s="71"/>
      <c r="L558" s="71"/>
    </row>
    <row r="559" spans="6:12" x14ac:dyDescent="0.3">
      <c r="F559" s="52"/>
      <c r="G559" s="51"/>
      <c r="H559" s="48"/>
      <c r="I559" s="70"/>
      <c r="J559" s="70"/>
      <c r="K559" s="71"/>
      <c r="L559" s="71"/>
    </row>
    <row r="560" spans="6:12" x14ac:dyDescent="0.3">
      <c r="F560" s="52"/>
      <c r="G560" s="51"/>
      <c r="H560" s="48"/>
      <c r="I560" s="70"/>
      <c r="J560" s="70"/>
      <c r="K560" s="71"/>
      <c r="L560" s="71"/>
    </row>
    <row r="561" spans="6:12" x14ac:dyDescent="0.3">
      <c r="F561" s="52"/>
      <c r="G561" s="51"/>
      <c r="H561" s="48"/>
      <c r="I561" s="70"/>
      <c r="J561" s="70"/>
      <c r="K561" s="71"/>
      <c r="L561" s="71"/>
    </row>
    <row r="562" spans="6:12" x14ac:dyDescent="0.3">
      <c r="F562" s="52"/>
      <c r="G562" s="51"/>
      <c r="H562" s="48"/>
      <c r="I562" s="70"/>
      <c r="J562" s="70"/>
      <c r="K562" s="71"/>
      <c r="L562" s="71"/>
    </row>
    <row r="563" spans="6:12" x14ac:dyDescent="0.3">
      <c r="F563" s="52"/>
      <c r="G563" s="51"/>
      <c r="H563" s="48"/>
      <c r="I563" s="70"/>
      <c r="J563" s="70"/>
      <c r="K563" s="71"/>
      <c r="L563" s="71"/>
    </row>
    <row r="564" spans="6:12" x14ac:dyDescent="0.3">
      <c r="F564" s="52"/>
      <c r="G564" s="51"/>
      <c r="H564" s="48"/>
      <c r="I564" s="70"/>
      <c r="J564" s="70"/>
      <c r="K564" s="71"/>
      <c r="L564" s="71"/>
    </row>
    <row r="565" spans="6:12" x14ac:dyDescent="0.3">
      <c r="F565" s="52"/>
      <c r="G565" s="51"/>
      <c r="H565" s="48"/>
      <c r="I565" s="70"/>
      <c r="J565" s="70"/>
      <c r="K565" s="71"/>
      <c r="L565" s="71"/>
    </row>
    <row r="566" spans="6:12" x14ac:dyDescent="0.3">
      <c r="F566" s="52"/>
      <c r="G566" s="51"/>
      <c r="H566" s="48"/>
      <c r="I566" s="70"/>
      <c r="J566" s="70"/>
      <c r="K566" s="71"/>
      <c r="L566" s="71"/>
    </row>
    <row r="567" spans="6:12" x14ac:dyDescent="0.3">
      <c r="F567" s="52"/>
      <c r="G567" s="51"/>
      <c r="H567" s="48"/>
      <c r="I567" s="70"/>
      <c r="J567" s="70"/>
      <c r="K567" s="71"/>
      <c r="L567" s="71"/>
    </row>
    <row r="568" spans="6:12" x14ac:dyDescent="0.3">
      <c r="F568" s="52"/>
      <c r="G568" s="51"/>
      <c r="H568" s="48"/>
      <c r="I568" s="70"/>
      <c r="J568" s="70"/>
      <c r="K568" s="71"/>
      <c r="L568" s="71"/>
    </row>
    <row r="569" spans="6:12" x14ac:dyDescent="0.3">
      <c r="F569" s="52"/>
      <c r="G569" s="51"/>
      <c r="H569" s="48"/>
      <c r="I569" s="70"/>
      <c r="J569" s="70"/>
      <c r="K569" s="71"/>
      <c r="L569" s="71"/>
    </row>
    <row r="570" spans="6:12" x14ac:dyDescent="0.3">
      <c r="F570" s="52"/>
      <c r="G570" s="51"/>
      <c r="H570" s="48"/>
      <c r="I570" s="70"/>
      <c r="J570" s="70"/>
      <c r="K570" s="71"/>
      <c r="L570" s="71"/>
    </row>
    <row r="571" spans="6:12" x14ac:dyDescent="0.3">
      <c r="F571" s="52"/>
      <c r="G571" s="51"/>
      <c r="H571" s="48"/>
      <c r="I571" s="70"/>
      <c r="J571" s="70"/>
      <c r="K571" s="71"/>
      <c r="L571" s="71"/>
    </row>
    <row r="572" spans="6:12" x14ac:dyDescent="0.3">
      <c r="F572" s="52"/>
      <c r="G572" s="51"/>
      <c r="H572" s="48"/>
      <c r="I572" s="70"/>
      <c r="J572" s="70"/>
      <c r="K572" s="71"/>
      <c r="L572" s="71"/>
    </row>
    <row r="573" spans="6:12" x14ac:dyDescent="0.3">
      <c r="F573" s="52"/>
      <c r="G573" s="51"/>
      <c r="H573" s="48"/>
      <c r="I573" s="70"/>
      <c r="J573" s="70"/>
      <c r="K573" s="71"/>
      <c r="L573" s="71"/>
    </row>
    <row r="574" spans="6:12" x14ac:dyDescent="0.3">
      <c r="F574" s="52"/>
      <c r="G574" s="51"/>
      <c r="H574" s="48"/>
      <c r="I574" s="70"/>
      <c r="J574" s="70"/>
      <c r="K574" s="71"/>
      <c r="L574" s="71"/>
    </row>
    <row r="575" spans="6:12" x14ac:dyDescent="0.3">
      <c r="F575" s="52"/>
      <c r="G575" s="51"/>
      <c r="H575" s="48"/>
      <c r="I575" s="70"/>
      <c r="J575" s="70"/>
      <c r="K575" s="71"/>
      <c r="L575" s="71"/>
    </row>
    <row r="576" spans="6:12" x14ac:dyDescent="0.3">
      <c r="F576" s="52"/>
      <c r="G576" s="51"/>
      <c r="H576" s="48"/>
      <c r="I576" s="70"/>
      <c r="J576" s="70"/>
      <c r="K576" s="71"/>
      <c r="L576" s="71"/>
    </row>
    <row r="577" spans="6:12" x14ac:dyDescent="0.3">
      <c r="F577" s="52"/>
      <c r="G577" s="51"/>
      <c r="H577" s="48"/>
      <c r="I577" s="70"/>
      <c r="J577" s="70"/>
      <c r="K577" s="71"/>
      <c r="L577" s="71"/>
    </row>
    <row r="578" spans="6:12" x14ac:dyDescent="0.3">
      <c r="F578" s="52"/>
      <c r="G578" s="51"/>
      <c r="H578" s="48"/>
      <c r="I578" s="70"/>
      <c r="J578" s="70"/>
      <c r="K578" s="71"/>
      <c r="L578" s="71"/>
    </row>
    <row r="579" spans="6:12" x14ac:dyDescent="0.3">
      <c r="F579" s="52"/>
      <c r="G579" s="51"/>
      <c r="H579" s="48"/>
      <c r="I579" s="70"/>
      <c r="J579" s="70"/>
      <c r="K579" s="71"/>
      <c r="L579" s="71"/>
    </row>
    <row r="580" spans="6:12" x14ac:dyDescent="0.3">
      <c r="F580" s="52"/>
      <c r="G580" s="51"/>
      <c r="H580" s="48"/>
      <c r="I580" s="70"/>
      <c r="J580" s="70"/>
      <c r="K580" s="71"/>
      <c r="L580" s="71"/>
    </row>
    <row r="581" spans="6:12" x14ac:dyDescent="0.3">
      <c r="F581" s="52"/>
      <c r="G581" s="51"/>
      <c r="H581" s="48"/>
      <c r="I581" s="70"/>
      <c r="J581" s="70"/>
      <c r="K581" s="71"/>
      <c r="L581" s="71"/>
    </row>
    <row r="582" spans="6:12" x14ac:dyDescent="0.3">
      <c r="F582" s="52"/>
      <c r="G582" s="51"/>
      <c r="H582" s="48"/>
      <c r="I582" s="70"/>
      <c r="J582" s="70"/>
      <c r="K582" s="71"/>
      <c r="L582" s="71"/>
    </row>
    <row r="583" spans="6:12" x14ac:dyDescent="0.3">
      <c r="F583" s="52"/>
      <c r="G583" s="51"/>
      <c r="H583" s="48"/>
      <c r="I583" s="70"/>
      <c r="J583" s="70"/>
      <c r="K583" s="71"/>
      <c r="L583" s="71"/>
    </row>
    <row r="584" spans="6:12" x14ac:dyDescent="0.3">
      <c r="F584" s="52"/>
      <c r="G584" s="51"/>
      <c r="H584" s="48"/>
      <c r="I584" s="70"/>
      <c r="J584" s="70"/>
      <c r="K584" s="71"/>
      <c r="L584" s="71"/>
    </row>
    <row r="585" spans="6:12" x14ac:dyDescent="0.3">
      <c r="F585" s="52"/>
      <c r="G585" s="51"/>
      <c r="H585" s="48"/>
      <c r="I585" s="70"/>
      <c r="J585" s="70"/>
      <c r="K585" s="71"/>
      <c r="L585" s="71"/>
    </row>
    <row r="586" spans="6:12" x14ac:dyDescent="0.3">
      <c r="F586" s="52"/>
      <c r="G586" s="51"/>
      <c r="H586" s="48"/>
      <c r="I586" s="70"/>
      <c r="J586" s="70"/>
      <c r="K586" s="71"/>
      <c r="L586" s="71"/>
    </row>
    <row r="587" spans="6:12" x14ac:dyDescent="0.3">
      <c r="F587" s="52"/>
      <c r="G587" s="51"/>
      <c r="H587" s="48"/>
      <c r="I587" s="70"/>
      <c r="J587" s="70"/>
      <c r="K587" s="71"/>
      <c r="L587" s="71"/>
    </row>
    <row r="588" spans="6:12" x14ac:dyDescent="0.3">
      <c r="F588" s="52"/>
      <c r="G588" s="51"/>
      <c r="H588" s="48"/>
      <c r="I588" s="70"/>
      <c r="J588" s="70"/>
      <c r="K588" s="71"/>
      <c r="L588" s="71"/>
    </row>
    <row r="589" spans="6:12" x14ac:dyDescent="0.3">
      <c r="F589" s="52"/>
      <c r="G589" s="51"/>
      <c r="H589" s="48"/>
      <c r="I589" s="70"/>
      <c r="J589" s="70"/>
      <c r="K589" s="71"/>
      <c r="L589" s="71"/>
    </row>
    <row r="590" spans="6:12" x14ac:dyDescent="0.3">
      <c r="F590" s="52"/>
      <c r="G590" s="51"/>
      <c r="H590" s="48"/>
      <c r="I590" s="70"/>
      <c r="J590" s="70"/>
      <c r="K590" s="71"/>
      <c r="L590" s="71"/>
    </row>
    <row r="591" spans="6:12" x14ac:dyDescent="0.3">
      <c r="F591" s="52"/>
      <c r="G591" s="51"/>
      <c r="H591" s="48"/>
      <c r="I591" s="70"/>
      <c r="J591" s="70"/>
      <c r="K591" s="71"/>
      <c r="L591" s="71"/>
    </row>
    <row r="592" spans="6:12" x14ac:dyDescent="0.3">
      <c r="F592" s="52"/>
      <c r="G592" s="51"/>
      <c r="H592" s="48"/>
      <c r="I592" s="70"/>
      <c r="J592" s="70"/>
      <c r="K592" s="71"/>
      <c r="L592" s="71"/>
    </row>
    <row r="593" spans="6:12" x14ac:dyDescent="0.3">
      <c r="F593" s="52"/>
      <c r="G593" s="51"/>
      <c r="H593" s="48"/>
      <c r="I593" s="70"/>
      <c r="J593" s="70"/>
      <c r="K593" s="71"/>
      <c r="L593" s="71"/>
    </row>
    <row r="594" spans="6:12" x14ac:dyDescent="0.3">
      <c r="F594" s="52"/>
      <c r="G594" s="51"/>
      <c r="H594" s="48"/>
      <c r="I594" s="70"/>
      <c r="J594" s="70"/>
      <c r="K594" s="71"/>
      <c r="L594" s="71"/>
    </row>
    <row r="595" spans="6:12" x14ac:dyDescent="0.3">
      <c r="F595" s="52"/>
      <c r="G595" s="51"/>
      <c r="H595" s="48"/>
      <c r="I595" s="70"/>
      <c r="J595" s="70"/>
      <c r="K595" s="71"/>
      <c r="L595" s="71"/>
    </row>
    <row r="596" spans="6:12" x14ac:dyDescent="0.3">
      <c r="F596" s="52"/>
      <c r="G596" s="51"/>
      <c r="H596" s="48"/>
      <c r="I596" s="70"/>
      <c r="J596" s="70"/>
      <c r="K596" s="71"/>
      <c r="L596" s="71"/>
    </row>
    <row r="597" spans="6:12" x14ac:dyDescent="0.3">
      <c r="F597" s="52"/>
      <c r="G597" s="51"/>
      <c r="H597" s="48"/>
      <c r="I597" s="70"/>
      <c r="J597" s="70"/>
      <c r="K597" s="71"/>
      <c r="L597" s="71"/>
    </row>
    <row r="598" spans="6:12" x14ac:dyDescent="0.3">
      <c r="F598" s="52"/>
      <c r="G598" s="51"/>
      <c r="H598" s="48"/>
      <c r="I598" s="70"/>
      <c r="J598" s="70"/>
      <c r="K598" s="71"/>
      <c r="L598" s="71"/>
    </row>
    <row r="599" spans="6:12" x14ac:dyDescent="0.3">
      <c r="F599" s="52"/>
      <c r="G599" s="51"/>
      <c r="H599" s="48"/>
      <c r="I599" s="70"/>
      <c r="J599" s="70"/>
      <c r="K599" s="71"/>
      <c r="L599" s="71"/>
    </row>
    <row r="600" spans="6:12" x14ac:dyDescent="0.3">
      <c r="F600" s="52"/>
      <c r="G600" s="51"/>
      <c r="H600" s="48"/>
      <c r="I600" s="70"/>
      <c r="J600" s="70"/>
      <c r="K600" s="71"/>
      <c r="L600" s="71"/>
    </row>
    <row r="601" spans="6:12" x14ac:dyDescent="0.3">
      <c r="F601" s="52"/>
      <c r="G601" s="51"/>
      <c r="H601" s="48"/>
      <c r="I601" s="70"/>
      <c r="J601" s="70"/>
      <c r="K601" s="71"/>
      <c r="L601" s="71"/>
    </row>
    <row r="602" spans="6:12" x14ac:dyDescent="0.3">
      <c r="F602" s="52"/>
      <c r="G602" s="51"/>
      <c r="H602" s="48"/>
      <c r="I602" s="70"/>
      <c r="J602" s="70"/>
      <c r="K602" s="71"/>
      <c r="L602" s="71"/>
    </row>
    <row r="603" spans="6:12" x14ac:dyDescent="0.3">
      <c r="F603" s="52"/>
      <c r="G603" s="51"/>
      <c r="H603" s="48"/>
      <c r="I603" s="70"/>
      <c r="J603" s="70"/>
      <c r="K603" s="71"/>
      <c r="L603" s="71"/>
    </row>
    <row r="604" spans="6:12" x14ac:dyDescent="0.3">
      <c r="F604" s="52"/>
      <c r="G604" s="51"/>
      <c r="H604" s="48"/>
      <c r="I604" s="70"/>
      <c r="J604" s="70"/>
      <c r="K604" s="71"/>
      <c r="L604" s="71"/>
    </row>
    <row r="605" spans="6:12" x14ac:dyDescent="0.3">
      <c r="F605" s="52"/>
      <c r="G605" s="51"/>
      <c r="H605" s="48"/>
      <c r="I605" s="70"/>
      <c r="J605" s="70"/>
      <c r="K605" s="71"/>
      <c r="L605" s="71"/>
    </row>
    <row r="606" spans="6:12" x14ac:dyDescent="0.3">
      <c r="F606" s="52"/>
      <c r="G606" s="51"/>
      <c r="H606" s="48"/>
      <c r="I606" s="70"/>
      <c r="J606" s="70"/>
      <c r="K606" s="71"/>
      <c r="L606" s="71"/>
    </row>
    <row r="607" spans="6:12" x14ac:dyDescent="0.3">
      <c r="F607" s="52"/>
      <c r="G607" s="51"/>
      <c r="H607" s="48"/>
      <c r="I607" s="70"/>
      <c r="J607" s="70"/>
      <c r="K607" s="71"/>
      <c r="L607" s="71"/>
    </row>
    <row r="608" spans="6:12" x14ac:dyDescent="0.3">
      <c r="F608" s="52"/>
      <c r="G608" s="51"/>
      <c r="H608" s="48"/>
      <c r="I608" s="70"/>
      <c r="J608" s="70"/>
      <c r="K608" s="71"/>
      <c r="L608" s="71"/>
    </row>
    <row r="609" spans="6:12" x14ac:dyDescent="0.3">
      <c r="F609" s="52"/>
      <c r="G609" s="51"/>
      <c r="H609" s="48"/>
      <c r="I609" s="70"/>
      <c r="J609" s="70"/>
      <c r="K609" s="71"/>
      <c r="L609" s="71"/>
    </row>
    <row r="610" spans="6:12" x14ac:dyDescent="0.3">
      <c r="F610" s="52"/>
      <c r="G610" s="51"/>
      <c r="H610" s="48"/>
      <c r="I610" s="70"/>
      <c r="J610" s="70"/>
      <c r="K610" s="71"/>
      <c r="L610" s="71"/>
    </row>
    <row r="611" spans="6:12" x14ac:dyDescent="0.3">
      <c r="F611" s="52"/>
      <c r="G611" s="51"/>
      <c r="H611" s="48"/>
      <c r="I611" s="70"/>
      <c r="J611" s="70"/>
      <c r="K611" s="71"/>
      <c r="L611" s="71"/>
    </row>
    <row r="612" spans="6:12" x14ac:dyDescent="0.3">
      <c r="F612" s="52"/>
      <c r="G612" s="51"/>
      <c r="H612" s="48"/>
      <c r="I612" s="70"/>
      <c r="J612" s="70"/>
      <c r="K612" s="71"/>
      <c r="L612" s="71"/>
    </row>
    <row r="613" spans="6:12" x14ac:dyDescent="0.3">
      <c r="F613" s="52"/>
      <c r="G613" s="51"/>
      <c r="H613" s="48"/>
      <c r="I613" s="70"/>
      <c r="J613" s="70"/>
      <c r="K613" s="71"/>
      <c r="L613" s="71"/>
    </row>
    <row r="614" spans="6:12" x14ac:dyDescent="0.3">
      <c r="F614" s="52"/>
      <c r="G614" s="51"/>
      <c r="H614" s="48"/>
      <c r="I614" s="70"/>
      <c r="J614" s="70"/>
      <c r="K614" s="71"/>
      <c r="L614" s="71"/>
    </row>
    <row r="615" spans="6:12" x14ac:dyDescent="0.3">
      <c r="F615" s="52"/>
      <c r="G615" s="51"/>
      <c r="H615" s="48"/>
      <c r="I615" s="70"/>
      <c r="J615" s="70"/>
      <c r="K615" s="71"/>
      <c r="L615" s="71"/>
    </row>
    <row r="616" spans="6:12" x14ac:dyDescent="0.3">
      <c r="F616" s="52"/>
      <c r="G616" s="51"/>
      <c r="H616" s="48"/>
      <c r="I616" s="70"/>
      <c r="J616" s="70"/>
      <c r="K616" s="71"/>
      <c r="L616" s="71"/>
    </row>
    <row r="617" spans="6:12" x14ac:dyDescent="0.3">
      <c r="F617" s="52"/>
      <c r="G617" s="51"/>
      <c r="H617" s="48"/>
      <c r="I617" s="70"/>
      <c r="J617" s="70"/>
      <c r="K617" s="71"/>
      <c r="L617" s="71"/>
    </row>
    <row r="618" spans="6:12" x14ac:dyDescent="0.3">
      <c r="F618" s="52"/>
      <c r="G618" s="51"/>
      <c r="H618" s="48"/>
      <c r="I618" s="70"/>
      <c r="J618" s="70"/>
      <c r="K618" s="71"/>
      <c r="L618" s="71"/>
    </row>
    <row r="619" spans="6:12" x14ac:dyDescent="0.3">
      <c r="F619" s="52"/>
      <c r="G619" s="51"/>
      <c r="H619" s="48"/>
      <c r="I619" s="70"/>
      <c r="J619" s="70"/>
      <c r="K619" s="71"/>
      <c r="L619" s="71"/>
    </row>
    <row r="620" spans="6:12" x14ac:dyDescent="0.3">
      <c r="F620" s="52"/>
      <c r="G620" s="51"/>
      <c r="H620" s="48"/>
      <c r="I620" s="70"/>
      <c r="J620" s="70"/>
      <c r="K620" s="71"/>
      <c r="L620" s="71"/>
    </row>
    <row r="621" spans="6:12" x14ac:dyDescent="0.3">
      <c r="F621" s="52"/>
      <c r="G621" s="51"/>
      <c r="H621" s="48"/>
      <c r="I621" s="70"/>
      <c r="J621" s="70"/>
      <c r="K621" s="71"/>
      <c r="L621" s="71"/>
    </row>
    <row r="622" spans="6:12" x14ac:dyDescent="0.3">
      <c r="F622" s="52"/>
      <c r="G622" s="51"/>
      <c r="H622" s="48"/>
      <c r="I622" s="70"/>
      <c r="J622" s="70"/>
      <c r="K622" s="71"/>
      <c r="L622" s="71"/>
    </row>
    <row r="623" spans="6:12" x14ac:dyDescent="0.3">
      <c r="F623" s="52"/>
      <c r="G623" s="51"/>
      <c r="H623" s="48"/>
      <c r="I623" s="70"/>
      <c r="J623" s="70"/>
      <c r="K623" s="71"/>
      <c r="L623" s="71"/>
    </row>
    <row r="624" spans="6:12" x14ac:dyDescent="0.3">
      <c r="F624" s="52"/>
      <c r="G624" s="51"/>
      <c r="H624" s="48"/>
      <c r="I624" s="70"/>
      <c r="J624" s="70"/>
      <c r="K624" s="71"/>
      <c r="L624" s="71"/>
    </row>
    <row r="625" spans="6:12" x14ac:dyDescent="0.3">
      <c r="F625" s="52"/>
      <c r="G625" s="51"/>
      <c r="H625" s="48"/>
      <c r="I625" s="70"/>
      <c r="J625" s="70"/>
      <c r="K625" s="71"/>
      <c r="L625" s="71"/>
    </row>
    <row r="626" spans="6:12" x14ac:dyDescent="0.3">
      <c r="F626" s="52"/>
      <c r="G626" s="51"/>
      <c r="H626" s="48"/>
      <c r="I626" s="70"/>
      <c r="J626" s="70"/>
      <c r="K626" s="71"/>
      <c r="L626" s="71"/>
    </row>
    <row r="627" spans="6:12" x14ac:dyDescent="0.3">
      <c r="F627" s="52"/>
      <c r="G627" s="51"/>
      <c r="H627" s="48"/>
      <c r="I627" s="70"/>
      <c r="J627" s="70"/>
      <c r="K627" s="71"/>
      <c r="L627" s="71"/>
    </row>
    <row r="628" spans="6:12" x14ac:dyDescent="0.3">
      <c r="F628" s="52"/>
      <c r="G628" s="51"/>
      <c r="H628" s="48"/>
      <c r="I628" s="70"/>
      <c r="J628" s="70"/>
      <c r="K628" s="71"/>
      <c r="L628" s="71"/>
    </row>
    <row r="629" spans="6:12" x14ac:dyDescent="0.3">
      <c r="F629" s="52"/>
      <c r="G629" s="51"/>
      <c r="H629" s="48"/>
      <c r="I629" s="70"/>
      <c r="J629" s="70"/>
      <c r="K629" s="71"/>
      <c r="L629" s="71"/>
    </row>
    <row r="630" spans="6:12" x14ac:dyDescent="0.3">
      <c r="F630" s="52"/>
      <c r="G630" s="51"/>
      <c r="H630" s="48"/>
      <c r="I630" s="70"/>
      <c r="J630" s="70"/>
      <c r="K630" s="71"/>
      <c r="L630" s="71"/>
    </row>
    <row r="631" spans="6:12" x14ac:dyDescent="0.3">
      <c r="F631" s="52"/>
      <c r="G631" s="51"/>
      <c r="H631" s="48"/>
      <c r="I631" s="70"/>
      <c r="J631" s="70"/>
      <c r="K631" s="71"/>
      <c r="L631" s="71"/>
    </row>
    <row r="632" spans="6:12" x14ac:dyDescent="0.3">
      <c r="F632" s="52"/>
      <c r="G632" s="51"/>
      <c r="H632" s="48"/>
      <c r="I632" s="70"/>
      <c r="J632" s="70"/>
      <c r="K632" s="71"/>
      <c r="L632" s="71"/>
    </row>
    <row r="633" spans="6:12" x14ac:dyDescent="0.3">
      <c r="F633" s="52"/>
      <c r="G633" s="51"/>
      <c r="H633" s="48"/>
      <c r="I633" s="70"/>
      <c r="J633" s="70"/>
      <c r="K633" s="71"/>
      <c r="L633" s="71"/>
    </row>
    <row r="634" spans="6:12" x14ac:dyDescent="0.3">
      <c r="F634" s="52"/>
      <c r="G634" s="51"/>
      <c r="H634" s="48"/>
      <c r="I634" s="70"/>
      <c r="J634" s="70"/>
      <c r="K634" s="71"/>
      <c r="L634" s="71"/>
    </row>
    <row r="635" spans="6:12" x14ac:dyDescent="0.3">
      <c r="F635" s="52"/>
      <c r="G635" s="51"/>
      <c r="H635" s="48"/>
      <c r="I635" s="70"/>
      <c r="J635" s="70"/>
      <c r="K635" s="71"/>
      <c r="L635" s="71"/>
    </row>
    <row r="636" spans="6:12" x14ac:dyDescent="0.3">
      <c r="F636" s="52"/>
      <c r="G636" s="51"/>
      <c r="H636" s="48"/>
      <c r="I636" s="70"/>
      <c r="J636" s="70"/>
      <c r="K636" s="71"/>
      <c r="L636" s="71"/>
    </row>
    <row r="637" spans="6:12" x14ac:dyDescent="0.3">
      <c r="F637" s="52"/>
      <c r="G637" s="51"/>
      <c r="H637" s="48"/>
      <c r="I637" s="70"/>
      <c r="J637" s="70"/>
      <c r="K637" s="71"/>
      <c r="L637" s="71"/>
    </row>
    <row r="638" spans="6:12" x14ac:dyDescent="0.3">
      <c r="F638" s="52"/>
      <c r="G638" s="51"/>
      <c r="H638" s="48"/>
      <c r="I638" s="70"/>
      <c r="J638" s="70"/>
      <c r="K638" s="71"/>
      <c r="L638" s="71"/>
    </row>
    <row r="639" spans="6:12" x14ac:dyDescent="0.3">
      <c r="F639" s="52"/>
      <c r="G639" s="51"/>
      <c r="H639" s="48"/>
      <c r="I639" s="70"/>
      <c r="J639" s="70"/>
      <c r="K639" s="71"/>
      <c r="L639" s="71"/>
    </row>
    <row r="640" spans="6:12" x14ac:dyDescent="0.3">
      <c r="F640" s="52"/>
      <c r="G640" s="51"/>
      <c r="H640" s="48"/>
      <c r="I640" s="70"/>
      <c r="J640" s="70"/>
      <c r="K640" s="71"/>
      <c r="L640" s="71"/>
    </row>
    <row r="641" spans="6:12" x14ac:dyDescent="0.3">
      <c r="F641" s="52"/>
      <c r="G641" s="51"/>
      <c r="H641" s="48"/>
      <c r="I641" s="70"/>
      <c r="J641" s="70"/>
      <c r="K641" s="71"/>
      <c r="L641" s="71"/>
    </row>
    <row r="642" spans="6:12" x14ac:dyDescent="0.3">
      <c r="F642" s="52"/>
      <c r="G642" s="51"/>
      <c r="H642" s="48"/>
      <c r="I642" s="70"/>
      <c r="J642" s="70"/>
      <c r="K642" s="71"/>
      <c r="L642" s="71"/>
    </row>
    <row r="643" spans="6:12" x14ac:dyDescent="0.3">
      <c r="F643" s="52"/>
      <c r="G643" s="51"/>
      <c r="H643" s="48"/>
      <c r="I643" s="70"/>
      <c r="J643" s="70"/>
      <c r="K643" s="71"/>
      <c r="L643" s="71"/>
    </row>
    <row r="644" spans="6:12" x14ac:dyDescent="0.3">
      <c r="F644" s="52"/>
      <c r="G644" s="51"/>
      <c r="H644" s="48"/>
      <c r="I644" s="70"/>
      <c r="J644" s="70"/>
      <c r="K644" s="71"/>
      <c r="L644" s="71"/>
    </row>
    <row r="645" spans="6:12" x14ac:dyDescent="0.3">
      <c r="F645" s="52"/>
      <c r="G645" s="51"/>
      <c r="H645" s="48"/>
      <c r="I645" s="70"/>
      <c r="J645" s="70"/>
      <c r="K645" s="71"/>
      <c r="L645" s="71"/>
    </row>
    <row r="646" spans="6:12" x14ac:dyDescent="0.3">
      <c r="F646" s="52"/>
      <c r="G646" s="51"/>
      <c r="H646" s="48"/>
      <c r="I646" s="70"/>
      <c r="J646" s="70"/>
      <c r="K646" s="71"/>
      <c r="L646" s="71"/>
    </row>
    <row r="647" spans="6:12" x14ac:dyDescent="0.3">
      <c r="F647" s="52"/>
      <c r="G647" s="51"/>
      <c r="H647" s="48"/>
      <c r="I647" s="70"/>
      <c r="J647" s="70"/>
      <c r="K647" s="71"/>
      <c r="L647" s="71"/>
    </row>
    <row r="648" spans="6:12" x14ac:dyDescent="0.3">
      <c r="F648" s="52"/>
      <c r="G648" s="51"/>
      <c r="H648" s="48"/>
      <c r="I648" s="70"/>
      <c r="J648" s="70"/>
      <c r="K648" s="71"/>
      <c r="L648" s="71"/>
    </row>
    <row r="649" spans="6:12" x14ac:dyDescent="0.3">
      <c r="F649" s="52"/>
      <c r="G649" s="51"/>
      <c r="H649" s="48"/>
      <c r="I649" s="70"/>
      <c r="J649" s="70"/>
      <c r="K649" s="71"/>
      <c r="L649" s="71"/>
    </row>
    <row r="650" spans="6:12" x14ac:dyDescent="0.3">
      <c r="F650" s="52"/>
      <c r="G650" s="51"/>
      <c r="H650" s="48"/>
      <c r="I650" s="70"/>
      <c r="J650" s="70"/>
      <c r="K650" s="71"/>
      <c r="L650" s="71"/>
    </row>
    <row r="651" spans="6:12" x14ac:dyDescent="0.3">
      <c r="F651" s="52"/>
      <c r="G651" s="51"/>
      <c r="H651" s="48"/>
      <c r="I651" s="70"/>
      <c r="J651" s="70"/>
      <c r="K651" s="71"/>
      <c r="L651" s="71"/>
    </row>
    <row r="652" spans="6:12" x14ac:dyDescent="0.3">
      <c r="F652" s="52"/>
      <c r="G652" s="51"/>
      <c r="H652" s="48"/>
      <c r="I652" s="70"/>
      <c r="J652" s="70"/>
      <c r="K652" s="71"/>
      <c r="L652" s="71"/>
    </row>
    <row r="653" spans="6:12" x14ac:dyDescent="0.3">
      <c r="F653" s="52"/>
      <c r="G653" s="51"/>
      <c r="H653" s="48"/>
      <c r="I653" s="70"/>
      <c r="J653" s="70"/>
      <c r="K653" s="71"/>
      <c r="L653" s="71"/>
    </row>
    <row r="654" spans="6:12" x14ac:dyDescent="0.3">
      <c r="F654" s="52"/>
      <c r="G654" s="51"/>
      <c r="H654" s="48"/>
      <c r="I654" s="70"/>
      <c r="J654" s="70"/>
      <c r="K654" s="71"/>
      <c r="L654" s="71"/>
    </row>
    <row r="655" spans="6:12" x14ac:dyDescent="0.3">
      <c r="F655" s="52"/>
      <c r="G655" s="51"/>
      <c r="H655" s="48"/>
      <c r="I655" s="70"/>
      <c r="J655" s="70"/>
      <c r="K655" s="71"/>
      <c r="L655" s="71"/>
    </row>
    <row r="656" spans="6:12" x14ac:dyDescent="0.3">
      <c r="F656" s="52"/>
      <c r="G656" s="51"/>
      <c r="H656" s="48"/>
      <c r="I656" s="70"/>
      <c r="J656" s="70"/>
      <c r="K656" s="71"/>
      <c r="L656" s="71"/>
    </row>
    <row r="657" spans="6:12" x14ac:dyDescent="0.3">
      <c r="F657" s="52"/>
      <c r="G657" s="51"/>
      <c r="H657" s="48"/>
      <c r="I657" s="70"/>
      <c r="J657" s="70"/>
      <c r="K657" s="71"/>
      <c r="L657" s="71"/>
    </row>
    <row r="658" spans="6:12" x14ac:dyDescent="0.3">
      <c r="F658" s="52"/>
      <c r="G658" s="51"/>
      <c r="H658" s="48"/>
      <c r="I658" s="70"/>
      <c r="J658" s="70"/>
      <c r="K658" s="71"/>
      <c r="L658" s="71"/>
    </row>
    <row r="659" spans="6:12" x14ac:dyDescent="0.3">
      <c r="F659" s="52"/>
      <c r="G659" s="51"/>
      <c r="H659" s="48"/>
      <c r="I659" s="70"/>
      <c r="J659" s="70"/>
      <c r="K659" s="71"/>
      <c r="L659" s="71"/>
    </row>
    <row r="660" spans="6:12" x14ac:dyDescent="0.3">
      <c r="F660" s="52"/>
      <c r="G660" s="51"/>
      <c r="H660" s="48"/>
      <c r="I660" s="70"/>
      <c r="J660" s="70"/>
      <c r="K660" s="71"/>
      <c r="L660" s="71"/>
    </row>
    <row r="661" spans="6:12" x14ac:dyDescent="0.3">
      <c r="F661" s="52"/>
      <c r="G661" s="51"/>
      <c r="H661" s="48"/>
      <c r="I661" s="70"/>
      <c r="J661" s="70"/>
      <c r="K661" s="71"/>
      <c r="L661" s="71"/>
    </row>
    <row r="662" spans="6:12" x14ac:dyDescent="0.3">
      <c r="F662" s="52"/>
      <c r="G662" s="51"/>
      <c r="H662" s="48"/>
      <c r="I662" s="70"/>
      <c r="J662" s="70"/>
      <c r="K662" s="71"/>
      <c r="L662" s="71"/>
    </row>
    <row r="663" spans="6:12" x14ac:dyDescent="0.3">
      <c r="F663" s="52"/>
      <c r="G663" s="51"/>
      <c r="H663" s="48"/>
      <c r="I663" s="70"/>
      <c r="J663" s="70"/>
      <c r="K663" s="71"/>
      <c r="L663" s="71"/>
    </row>
    <row r="664" spans="6:12" x14ac:dyDescent="0.3">
      <c r="F664" s="52"/>
      <c r="G664" s="51"/>
      <c r="H664" s="48"/>
      <c r="I664" s="70"/>
      <c r="J664" s="70"/>
      <c r="K664" s="71"/>
      <c r="L664" s="71"/>
    </row>
    <row r="665" spans="6:12" x14ac:dyDescent="0.3">
      <c r="F665" s="52"/>
      <c r="G665" s="51"/>
      <c r="H665" s="48"/>
      <c r="I665" s="70"/>
      <c r="J665" s="70"/>
      <c r="K665" s="71"/>
      <c r="L665" s="71"/>
    </row>
    <row r="666" spans="6:12" x14ac:dyDescent="0.3">
      <c r="F666" s="52"/>
      <c r="G666" s="51"/>
      <c r="H666" s="48"/>
      <c r="I666" s="70"/>
      <c r="J666" s="70"/>
      <c r="K666" s="71"/>
      <c r="L666" s="71"/>
    </row>
    <row r="667" spans="6:12" x14ac:dyDescent="0.3">
      <c r="F667" s="52"/>
      <c r="G667" s="51"/>
      <c r="H667" s="48"/>
      <c r="I667" s="70"/>
      <c r="J667" s="70"/>
      <c r="K667" s="71"/>
      <c r="L667" s="71"/>
    </row>
    <row r="668" spans="6:12" x14ac:dyDescent="0.3">
      <c r="F668" s="52"/>
      <c r="G668" s="51"/>
      <c r="H668" s="48"/>
      <c r="I668" s="70"/>
      <c r="J668" s="70"/>
      <c r="K668" s="71"/>
      <c r="L668" s="71"/>
    </row>
    <row r="669" spans="6:12" x14ac:dyDescent="0.3">
      <c r="F669" s="52"/>
      <c r="G669" s="51"/>
      <c r="H669" s="48"/>
      <c r="I669" s="70"/>
      <c r="J669" s="70"/>
      <c r="K669" s="71"/>
      <c r="L669" s="71"/>
    </row>
    <row r="670" spans="6:12" x14ac:dyDescent="0.3">
      <c r="F670" s="52"/>
      <c r="G670" s="51"/>
      <c r="H670" s="48"/>
      <c r="I670" s="70"/>
      <c r="J670" s="70"/>
      <c r="K670" s="71"/>
      <c r="L670" s="71"/>
    </row>
    <row r="671" spans="6:12" x14ac:dyDescent="0.3">
      <c r="F671" s="52"/>
      <c r="G671" s="51"/>
      <c r="H671" s="48"/>
      <c r="I671" s="70"/>
      <c r="J671" s="70"/>
      <c r="K671" s="71"/>
      <c r="L671" s="71"/>
    </row>
    <row r="672" spans="6:12" x14ac:dyDescent="0.3">
      <c r="F672" s="52"/>
      <c r="G672" s="51"/>
      <c r="H672" s="48"/>
      <c r="I672" s="70"/>
      <c r="J672" s="70"/>
      <c r="K672" s="71"/>
      <c r="L672" s="71"/>
    </row>
    <row r="673" spans="6:12" x14ac:dyDescent="0.3">
      <c r="F673" s="52"/>
      <c r="G673" s="51"/>
      <c r="H673" s="48"/>
      <c r="I673" s="70"/>
      <c r="J673" s="70"/>
      <c r="K673" s="71"/>
      <c r="L673" s="71"/>
    </row>
    <row r="674" spans="6:12" x14ac:dyDescent="0.3">
      <c r="F674" s="52"/>
      <c r="G674" s="51"/>
      <c r="H674" s="48"/>
      <c r="I674" s="70"/>
      <c r="J674" s="70"/>
      <c r="K674" s="71"/>
      <c r="L674" s="71"/>
    </row>
    <row r="675" spans="6:12" x14ac:dyDescent="0.3">
      <c r="F675" s="52"/>
      <c r="G675" s="51"/>
      <c r="H675" s="48"/>
      <c r="I675" s="70"/>
      <c r="J675" s="70"/>
      <c r="K675" s="71"/>
      <c r="L675" s="71"/>
    </row>
    <row r="676" spans="6:12" x14ac:dyDescent="0.3">
      <c r="F676" s="52"/>
      <c r="G676" s="51"/>
      <c r="H676" s="48"/>
      <c r="I676" s="70"/>
      <c r="J676" s="70"/>
      <c r="K676" s="71"/>
      <c r="L676" s="71"/>
    </row>
    <row r="677" spans="6:12" x14ac:dyDescent="0.3">
      <c r="F677" s="52"/>
      <c r="G677" s="51"/>
      <c r="H677" s="48"/>
      <c r="I677" s="70"/>
      <c r="J677" s="70"/>
      <c r="K677" s="71"/>
      <c r="L677" s="71"/>
    </row>
    <row r="678" spans="6:12" x14ac:dyDescent="0.3">
      <c r="F678" s="52"/>
      <c r="G678" s="51"/>
      <c r="H678" s="48"/>
      <c r="I678" s="70"/>
      <c r="J678" s="70"/>
      <c r="K678" s="71"/>
      <c r="L678" s="71"/>
    </row>
    <row r="679" spans="6:12" x14ac:dyDescent="0.3">
      <c r="F679" s="52"/>
      <c r="G679" s="51"/>
      <c r="H679" s="48"/>
      <c r="I679" s="70"/>
      <c r="J679" s="70"/>
      <c r="K679" s="71"/>
      <c r="L679" s="71"/>
    </row>
    <row r="680" spans="6:12" x14ac:dyDescent="0.3">
      <c r="F680" s="52"/>
      <c r="G680" s="51"/>
      <c r="H680" s="48"/>
      <c r="I680" s="70"/>
      <c r="J680" s="70"/>
      <c r="K680" s="71"/>
      <c r="L680" s="71"/>
    </row>
    <row r="681" spans="6:12" x14ac:dyDescent="0.3">
      <c r="F681" s="52"/>
      <c r="G681" s="51"/>
      <c r="H681" s="48"/>
      <c r="I681" s="70"/>
      <c r="J681" s="70"/>
      <c r="K681" s="71"/>
      <c r="L681" s="71"/>
    </row>
    <row r="682" spans="6:12" x14ac:dyDescent="0.3">
      <c r="F682" s="52"/>
      <c r="G682" s="51"/>
      <c r="H682" s="48"/>
      <c r="I682" s="70"/>
      <c r="J682" s="70"/>
      <c r="K682" s="71"/>
      <c r="L682" s="71"/>
    </row>
    <row r="683" spans="6:12" x14ac:dyDescent="0.3">
      <c r="F683" s="52"/>
      <c r="G683" s="51"/>
      <c r="H683" s="48"/>
      <c r="I683" s="70"/>
      <c r="J683" s="70"/>
      <c r="K683" s="71"/>
      <c r="L683" s="71"/>
    </row>
    <row r="684" spans="6:12" x14ac:dyDescent="0.3">
      <c r="F684" s="50"/>
      <c r="G684" s="51"/>
      <c r="H684" s="48"/>
      <c r="I684" s="70"/>
      <c r="J684" s="70"/>
      <c r="K684" s="71"/>
      <c r="L684" s="71"/>
    </row>
    <row r="685" spans="6:12" x14ac:dyDescent="0.3">
      <c r="F685" s="50"/>
      <c r="G685" s="51"/>
      <c r="H685" s="48"/>
      <c r="I685" s="70"/>
      <c r="J685" s="70"/>
      <c r="K685" s="71"/>
      <c r="L685" s="71"/>
    </row>
    <row r="686" spans="6:12" x14ac:dyDescent="0.3">
      <c r="F686" s="50"/>
      <c r="G686" s="51"/>
      <c r="H686" s="48"/>
      <c r="I686" s="70"/>
      <c r="J686" s="70"/>
      <c r="K686" s="71"/>
      <c r="L686" s="71"/>
    </row>
    <row r="687" spans="6:12" x14ac:dyDescent="0.3">
      <c r="F687" s="50"/>
      <c r="G687" s="51"/>
      <c r="H687" s="48"/>
      <c r="I687" s="70"/>
      <c r="J687" s="70"/>
      <c r="K687" s="71"/>
      <c r="L687" s="71"/>
    </row>
    <row r="688" spans="6:12" x14ac:dyDescent="0.3">
      <c r="F688" s="50"/>
      <c r="G688" s="51"/>
      <c r="H688" s="48"/>
      <c r="I688" s="70"/>
      <c r="J688" s="70"/>
      <c r="K688" s="71"/>
      <c r="L688" s="71"/>
    </row>
    <row r="689" spans="6:12" x14ac:dyDescent="0.3">
      <c r="F689" s="50"/>
      <c r="G689" s="51"/>
      <c r="H689" s="48"/>
      <c r="I689" s="70"/>
      <c r="J689" s="70"/>
      <c r="K689" s="71"/>
      <c r="L689" s="71"/>
    </row>
    <row r="690" spans="6:12" x14ac:dyDescent="0.3">
      <c r="F690" s="50"/>
      <c r="G690" s="51"/>
      <c r="H690" s="48"/>
      <c r="I690" s="70"/>
      <c r="J690" s="70"/>
      <c r="K690" s="71"/>
      <c r="L690" s="71"/>
    </row>
    <row r="691" spans="6:12" x14ac:dyDescent="0.3">
      <c r="F691" s="50"/>
      <c r="G691" s="51"/>
      <c r="H691" s="48"/>
      <c r="I691" s="70"/>
      <c r="J691" s="70"/>
      <c r="K691" s="71"/>
      <c r="L691" s="71"/>
    </row>
    <row r="692" spans="6:12" x14ac:dyDescent="0.3">
      <c r="F692" s="50"/>
      <c r="G692" s="51"/>
      <c r="H692" s="48"/>
      <c r="I692" s="70"/>
      <c r="J692" s="70"/>
      <c r="K692" s="71"/>
      <c r="L692" s="71"/>
    </row>
    <row r="693" spans="6:12" x14ac:dyDescent="0.3">
      <c r="F693" s="50"/>
      <c r="G693" s="51"/>
      <c r="H693" s="48"/>
      <c r="I693" s="70"/>
      <c r="J693" s="70"/>
      <c r="K693" s="71"/>
      <c r="L693" s="71"/>
    </row>
    <row r="694" spans="6:12" x14ac:dyDescent="0.3">
      <c r="F694" s="50"/>
      <c r="G694" s="51"/>
      <c r="H694" s="48"/>
      <c r="I694" s="70"/>
      <c r="J694" s="70"/>
      <c r="K694" s="71"/>
      <c r="L694" s="71"/>
    </row>
    <row r="695" spans="6:12" x14ac:dyDescent="0.3">
      <c r="F695" s="50"/>
      <c r="G695" s="51"/>
      <c r="H695" s="48"/>
      <c r="I695" s="70"/>
      <c r="J695" s="70"/>
      <c r="K695" s="71"/>
      <c r="L695" s="71"/>
    </row>
    <row r="696" spans="6:12" x14ac:dyDescent="0.3">
      <c r="F696" s="50"/>
      <c r="G696" s="51"/>
      <c r="H696" s="48"/>
      <c r="I696" s="70"/>
      <c r="J696" s="70"/>
      <c r="K696" s="71"/>
      <c r="L696" s="71"/>
    </row>
    <row r="697" spans="6:12" x14ac:dyDescent="0.3">
      <c r="F697" s="50"/>
      <c r="G697" s="51"/>
      <c r="H697" s="48"/>
      <c r="I697" s="70"/>
      <c r="J697" s="70"/>
      <c r="K697" s="71"/>
      <c r="L697" s="71"/>
    </row>
    <row r="698" spans="6:12" x14ac:dyDescent="0.3">
      <c r="F698" s="50"/>
      <c r="G698" s="51"/>
      <c r="H698" s="48"/>
      <c r="I698" s="70"/>
      <c r="J698" s="70"/>
      <c r="K698" s="71"/>
      <c r="L698" s="71"/>
    </row>
    <row r="699" spans="6:12" x14ac:dyDescent="0.3">
      <c r="F699" s="50"/>
      <c r="G699" s="51"/>
      <c r="H699" s="48"/>
      <c r="I699" s="70"/>
      <c r="J699" s="70"/>
      <c r="K699" s="71"/>
      <c r="L699" s="71"/>
    </row>
    <row r="700" spans="6:12" x14ac:dyDescent="0.3">
      <c r="F700" s="50"/>
      <c r="G700" s="51"/>
      <c r="H700" s="48"/>
      <c r="I700" s="70"/>
      <c r="J700" s="70"/>
      <c r="K700" s="71"/>
      <c r="L700" s="71"/>
    </row>
    <row r="701" spans="6:12" x14ac:dyDescent="0.3">
      <c r="F701" s="50"/>
      <c r="G701" s="51"/>
      <c r="H701" s="48"/>
      <c r="I701" s="70"/>
      <c r="J701" s="70"/>
      <c r="K701" s="71"/>
      <c r="L701" s="71"/>
    </row>
    <row r="702" spans="6:12" x14ac:dyDescent="0.3">
      <c r="F702" s="50"/>
      <c r="G702" s="51"/>
      <c r="H702" s="48"/>
      <c r="I702" s="70"/>
      <c r="J702" s="70"/>
      <c r="K702" s="71"/>
      <c r="L702" s="71"/>
    </row>
    <row r="703" spans="6:12" x14ac:dyDescent="0.3">
      <c r="F703" s="50"/>
      <c r="G703" s="51"/>
      <c r="H703" s="48"/>
      <c r="I703" s="70"/>
      <c r="J703" s="70"/>
      <c r="K703" s="71"/>
      <c r="L703" s="71"/>
    </row>
    <row r="704" spans="6:12" x14ac:dyDescent="0.3">
      <c r="F704" s="50"/>
      <c r="G704" s="51"/>
      <c r="H704" s="48"/>
      <c r="I704" s="70"/>
      <c r="J704" s="70"/>
      <c r="K704" s="71"/>
      <c r="L704" s="71"/>
    </row>
    <row r="705" spans="6:12" x14ac:dyDescent="0.3">
      <c r="F705" s="50"/>
      <c r="G705" s="51"/>
      <c r="H705" s="48"/>
      <c r="I705" s="70"/>
      <c r="J705" s="70"/>
      <c r="K705" s="71"/>
      <c r="L705" s="71"/>
    </row>
    <row r="706" spans="6:12" x14ac:dyDescent="0.3">
      <c r="F706" s="50"/>
      <c r="G706" s="51"/>
      <c r="H706" s="48"/>
      <c r="I706" s="70"/>
      <c r="J706" s="70"/>
      <c r="K706" s="71"/>
      <c r="L706" s="71"/>
    </row>
    <row r="707" spans="6:12" x14ac:dyDescent="0.3">
      <c r="F707" s="50"/>
      <c r="G707" s="51"/>
      <c r="H707" s="48"/>
      <c r="I707" s="70"/>
      <c r="J707" s="70"/>
      <c r="K707" s="71"/>
      <c r="L707" s="71"/>
    </row>
    <row r="708" spans="6:12" x14ac:dyDescent="0.3">
      <c r="F708" s="50"/>
      <c r="G708" s="51"/>
      <c r="H708" s="48"/>
      <c r="I708" s="70"/>
      <c r="J708" s="70"/>
      <c r="K708" s="71"/>
      <c r="L708" s="71"/>
    </row>
    <row r="709" spans="6:12" x14ac:dyDescent="0.3">
      <c r="F709" s="50"/>
      <c r="G709" s="51"/>
      <c r="H709" s="48"/>
      <c r="I709" s="70"/>
      <c r="J709" s="70"/>
      <c r="K709" s="71"/>
      <c r="L709" s="71"/>
    </row>
    <row r="710" spans="6:12" x14ac:dyDescent="0.3">
      <c r="F710" s="50"/>
      <c r="G710" s="51"/>
      <c r="H710" s="48"/>
      <c r="I710" s="70"/>
      <c r="J710" s="70"/>
      <c r="K710" s="71"/>
      <c r="L710" s="71"/>
    </row>
    <row r="711" spans="6:12" x14ac:dyDescent="0.3">
      <c r="F711" s="50"/>
      <c r="G711" s="51"/>
      <c r="H711" s="48"/>
      <c r="I711" s="70"/>
      <c r="J711" s="70"/>
      <c r="K711" s="71"/>
      <c r="L711" s="71"/>
    </row>
    <row r="712" spans="6:12" x14ac:dyDescent="0.3">
      <c r="F712" s="50"/>
      <c r="G712" s="51"/>
      <c r="H712" s="48"/>
      <c r="I712" s="70"/>
      <c r="J712" s="70"/>
      <c r="K712" s="71"/>
      <c r="L712" s="71"/>
    </row>
    <row r="713" spans="6:12" x14ac:dyDescent="0.3">
      <c r="F713" s="50"/>
      <c r="G713" s="51"/>
      <c r="H713" s="48"/>
      <c r="I713" s="70"/>
      <c r="J713" s="70"/>
      <c r="K713" s="71"/>
      <c r="L713" s="71"/>
    </row>
    <row r="714" spans="6:12" x14ac:dyDescent="0.3">
      <c r="F714" s="50"/>
      <c r="G714" s="51"/>
      <c r="H714" s="48"/>
      <c r="I714" s="70"/>
      <c r="J714" s="70"/>
      <c r="K714" s="71"/>
      <c r="L714" s="71"/>
    </row>
    <row r="715" spans="6:12" x14ac:dyDescent="0.3">
      <c r="F715" s="50"/>
      <c r="G715" s="51"/>
      <c r="H715" s="48"/>
      <c r="I715" s="70"/>
      <c r="J715" s="70"/>
      <c r="K715" s="71"/>
      <c r="L715" s="71"/>
    </row>
    <row r="716" spans="6:12" x14ac:dyDescent="0.3">
      <c r="F716" s="50"/>
      <c r="G716" s="51"/>
      <c r="H716" s="48"/>
      <c r="I716" s="70"/>
      <c r="J716" s="70"/>
      <c r="K716" s="71"/>
      <c r="L716" s="71"/>
    </row>
    <row r="717" spans="6:12" x14ac:dyDescent="0.3">
      <c r="F717" s="50"/>
      <c r="G717" s="51"/>
      <c r="H717" s="48"/>
      <c r="I717" s="70"/>
      <c r="J717" s="70"/>
      <c r="K717" s="71"/>
      <c r="L717" s="71"/>
    </row>
    <row r="718" spans="6:12" x14ac:dyDescent="0.3">
      <c r="F718" s="50"/>
      <c r="G718" s="51"/>
      <c r="H718" s="48"/>
      <c r="I718" s="70"/>
      <c r="J718" s="70"/>
      <c r="K718" s="71"/>
      <c r="L718" s="71"/>
    </row>
    <row r="719" spans="6:12" x14ac:dyDescent="0.3">
      <c r="F719" s="50"/>
      <c r="G719" s="51"/>
      <c r="H719" s="48"/>
      <c r="I719" s="70"/>
      <c r="J719" s="70"/>
      <c r="K719" s="71"/>
      <c r="L719" s="71"/>
    </row>
    <row r="720" spans="6:12" x14ac:dyDescent="0.3">
      <c r="F720" s="50"/>
      <c r="G720" s="51"/>
      <c r="H720" s="48"/>
      <c r="I720" s="70"/>
      <c r="J720" s="70"/>
      <c r="K720" s="71"/>
      <c r="L720" s="71"/>
    </row>
    <row r="721" spans="6:12" x14ac:dyDescent="0.3">
      <c r="F721" s="50"/>
      <c r="G721" s="51"/>
      <c r="H721" s="48"/>
      <c r="I721" s="70"/>
      <c r="J721" s="70"/>
      <c r="K721" s="71"/>
      <c r="L721" s="71"/>
    </row>
    <row r="722" spans="6:12" x14ac:dyDescent="0.3">
      <c r="F722" s="50"/>
      <c r="G722" s="51"/>
      <c r="H722" s="48"/>
      <c r="I722" s="70"/>
      <c r="J722" s="70"/>
      <c r="K722" s="71"/>
      <c r="L722" s="71"/>
    </row>
    <row r="723" spans="6:12" x14ac:dyDescent="0.3">
      <c r="F723" s="50"/>
      <c r="G723" s="51"/>
      <c r="H723" s="48"/>
      <c r="I723" s="70"/>
      <c r="J723" s="70"/>
      <c r="K723" s="71"/>
      <c r="L723" s="71"/>
    </row>
    <row r="724" spans="6:12" x14ac:dyDescent="0.3">
      <c r="F724" s="50"/>
      <c r="G724" s="51"/>
      <c r="H724" s="48"/>
      <c r="I724" s="70"/>
      <c r="J724" s="70"/>
      <c r="K724" s="71"/>
      <c r="L724" s="71"/>
    </row>
    <row r="725" spans="6:12" x14ac:dyDescent="0.3">
      <c r="F725" s="50"/>
      <c r="G725" s="51"/>
      <c r="H725" s="48"/>
      <c r="I725" s="70"/>
      <c r="J725" s="70"/>
      <c r="K725" s="71"/>
      <c r="L725" s="71"/>
    </row>
    <row r="726" spans="6:12" x14ac:dyDescent="0.3">
      <c r="F726" s="50"/>
      <c r="G726" s="51"/>
      <c r="H726" s="48"/>
      <c r="I726" s="70"/>
      <c r="J726" s="70"/>
      <c r="K726" s="71"/>
      <c r="L726" s="71"/>
    </row>
    <row r="727" spans="6:12" x14ac:dyDescent="0.3">
      <c r="F727" s="50"/>
      <c r="G727" s="51"/>
      <c r="H727" s="48"/>
      <c r="I727" s="70"/>
      <c r="J727" s="70"/>
      <c r="K727" s="71"/>
      <c r="L727" s="71"/>
    </row>
    <row r="728" spans="6:12" x14ac:dyDescent="0.3">
      <c r="F728" s="50"/>
      <c r="G728" s="51"/>
      <c r="H728" s="48"/>
      <c r="I728" s="70"/>
      <c r="J728" s="70"/>
      <c r="K728" s="71"/>
      <c r="L728" s="71"/>
    </row>
    <row r="729" spans="6:12" x14ac:dyDescent="0.3">
      <c r="F729" s="50"/>
      <c r="G729" s="51"/>
      <c r="H729" s="48"/>
      <c r="I729" s="70"/>
      <c r="J729" s="70"/>
      <c r="K729" s="71"/>
      <c r="L729" s="71"/>
    </row>
    <row r="730" spans="6:12" x14ac:dyDescent="0.3">
      <c r="F730" s="50"/>
      <c r="G730" s="51"/>
      <c r="H730" s="48"/>
      <c r="I730" s="70"/>
      <c r="J730" s="70"/>
      <c r="K730" s="71"/>
      <c r="L730" s="71"/>
    </row>
    <row r="731" spans="6:12" x14ac:dyDescent="0.3">
      <c r="F731" s="50"/>
      <c r="G731" s="51"/>
      <c r="H731" s="48"/>
      <c r="I731" s="70"/>
      <c r="J731" s="70"/>
      <c r="K731" s="71"/>
      <c r="L731" s="71"/>
    </row>
    <row r="732" spans="6:12" x14ac:dyDescent="0.3">
      <c r="F732" s="50"/>
      <c r="G732" s="51"/>
      <c r="H732" s="48"/>
      <c r="I732" s="70"/>
      <c r="J732" s="70"/>
      <c r="K732" s="71"/>
      <c r="L732" s="71"/>
    </row>
    <row r="733" spans="6:12" x14ac:dyDescent="0.3">
      <c r="F733" s="50"/>
      <c r="G733" s="51"/>
      <c r="H733" s="48"/>
      <c r="I733" s="70"/>
      <c r="J733" s="70"/>
      <c r="K733" s="71"/>
      <c r="L733" s="71"/>
    </row>
    <row r="734" spans="6:12" x14ac:dyDescent="0.3">
      <c r="F734" s="50"/>
      <c r="G734" s="51"/>
      <c r="H734" s="48"/>
      <c r="I734" s="70"/>
      <c r="J734" s="70"/>
      <c r="K734" s="71"/>
      <c r="L734" s="71"/>
    </row>
    <row r="735" spans="6:12" x14ac:dyDescent="0.3">
      <c r="F735" s="50"/>
      <c r="G735" s="51"/>
      <c r="H735" s="48"/>
      <c r="I735" s="70"/>
      <c r="J735" s="70"/>
      <c r="K735" s="71"/>
      <c r="L735" s="71"/>
    </row>
    <row r="736" spans="6:12" x14ac:dyDescent="0.3">
      <c r="F736" s="50"/>
      <c r="G736" s="51"/>
      <c r="H736" s="48"/>
      <c r="I736" s="70"/>
      <c r="J736" s="70"/>
      <c r="K736" s="71"/>
      <c r="L736" s="71"/>
    </row>
    <row r="737" spans="6:12" x14ac:dyDescent="0.3">
      <c r="F737" s="50"/>
      <c r="G737" s="51"/>
      <c r="H737" s="48"/>
      <c r="I737" s="70"/>
      <c r="J737" s="70"/>
      <c r="K737" s="71"/>
      <c r="L737" s="71"/>
    </row>
    <row r="738" spans="6:12" x14ac:dyDescent="0.3">
      <c r="F738" s="50"/>
      <c r="G738" s="51"/>
      <c r="H738" s="48"/>
      <c r="I738" s="70"/>
      <c r="J738" s="70"/>
      <c r="K738" s="71"/>
      <c r="L738" s="71"/>
    </row>
    <row r="739" spans="6:12" x14ac:dyDescent="0.3">
      <c r="F739" s="50"/>
      <c r="G739" s="51"/>
      <c r="H739" s="48"/>
      <c r="I739" s="70"/>
      <c r="J739" s="70"/>
      <c r="K739" s="71"/>
      <c r="L739" s="71"/>
    </row>
    <row r="740" spans="6:12" x14ac:dyDescent="0.3">
      <c r="F740" s="50"/>
      <c r="G740" s="51"/>
      <c r="H740" s="48"/>
      <c r="I740" s="70"/>
      <c r="J740" s="70"/>
      <c r="K740" s="71"/>
      <c r="L740" s="71"/>
    </row>
    <row r="741" spans="6:12" x14ac:dyDescent="0.3">
      <c r="F741" s="50"/>
      <c r="G741" s="51"/>
      <c r="H741" s="48"/>
      <c r="I741" s="70"/>
      <c r="J741" s="70"/>
      <c r="K741" s="71"/>
      <c r="L741" s="71"/>
    </row>
    <row r="742" spans="6:12" x14ac:dyDescent="0.3">
      <c r="F742" s="50"/>
      <c r="G742" s="51"/>
      <c r="H742" s="48"/>
      <c r="I742" s="70"/>
      <c r="J742" s="70"/>
      <c r="K742" s="71"/>
      <c r="L742" s="71"/>
    </row>
    <row r="743" spans="6:12" x14ac:dyDescent="0.3">
      <c r="F743" s="50"/>
      <c r="G743" s="51"/>
      <c r="H743" s="48"/>
      <c r="I743" s="70"/>
      <c r="J743" s="70"/>
      <c r="K743" s="71"/>
      <c r="L743" s="71"/>
    </row>
    <row r="744" spans="6:12" x14ac:dyDescent="0.3">
      <c r="F744" s="50"/>
      <c r="G744" s="51"/>
      <c r="H744" s="48"/>
      <c r="I744" s="70"/>
      <c r="J744" s="70"/>
      <c r="K744" s="71"/>
      <c r="L744" s="71"/>
    </row>
    <row r="745" spans="6:12" x14ac:dyDescent="0.3">
      <c r="F745" s="50"/>
      <c r="G745" s="51"/>
      <c r="H745" s="48"/>
      <c r="I745" s="70"/>
      <c r="J745" s="70"/>
      <c r="K745" s="71"/>
      <c r="L745" s="71"/>
    </row>
    <row r="746" spans="6:12" x14ac:dyDescent="0.3">
      <c r="F746" s="50"/>
      <c r="G746" s="51"/>
      <c r="H746" s="48"/>
      <c r="I746" s="70"/>
      <c r="J746" s="70"/>
      <c r="K746" s="71"/>
      <c r="L746" s="71"/>
    </row>
    <row r="747" spans="6:12" x14ac:dyDescent="0.3">
      <c r="F747" s="50"/>
      <c r="G747" s="51"/>
      <c r="H747" s="48"/>
      <c r="I747" s="70"/>
      <c r="J747" s="70"/>
      <c r="K747" s="71"/>
      <c r="L747" s="71"/>
    </row>
    <row r="748" spans="6:12" x14ac:dyDescent="0.3">
      <c r="F748" s="50"/>
      <c r="G748" s="51"/>
      <c r="H748" s="48"/>
      <c r="I748" s="70"/>
      <c r="J748" s="70"/>
      <c r="K748" s="71"/>
      <c r="L748" s="71"/>
    </row>
    <row r="749" spans="6:12" x14ac:dyDescent="0.3">
      <c r="F749" s="50"/>
      <c r="G749" s="51"/>
      <c r="H749" s="48"/>
      <c r="I749" s="70"/>
      <c r="J749" s="70"/>
      <c r="K749" s="71"/>
      <c r="L749" s="71"/>
    </row>
    <row r="750" spans="6:12" x14ac:dyDescent="0.3">
      <c r="F750" s="50"/>
      <c r="G750" s="51"/>
      <c r="H750" s="48"/>
      <c r="I750" s="70"/>
      <c r="J750" s="70"/>
      <c r="K750" s="71"/>
      <c r="L750" s="71"/>
    </row>
    <row r="751" spans="6:12" x14ac:dyDescent="0.3">
      <c r="F751" s="50"/>
      <c r="G751" s="51"/>
      <c r="H751" s="48"/>
      <c r="I751" s="70"/>
      <c r="J751" s="70"/>
      <c r="K751" s="71"/>
      <c r="L751" s="71"/>
    </row>
    <row r="752" spans="6:12" x14ac:dyDescent="0.3">
      <c r="F752" s="50"/>
      <c r="G752" s="51"/>
      <c r="H752" s="48"/>
      <c r="I752" s="70"/>
      <c r="J752" s="70"/>
      <c r="K752" s="71"/>
      <c r="L752" s="71"/>
    </row>
    <row r="753" spans="6:12" x14ac:dyDescent="0.3">
      <c r="F753" s="50"/>
      <c r="G753" s="51"/>
      <c r="H753" s="48"/>
      <c r="I753" s="70"/>
      <c r="J753" s="70"/>
      <c r="K753" s="71"/>
      <c r="L753" s="71"/>
    </row>
    <row r="754" spans="6:12" x14ac:dyDescent="0.3">
      <c r="F754" s="50"/>
      <c r="G754" s="51"/>
      <c r="H754" s="48"/>
      <c r="I754" s="70"/>
      <c r="J754" s="70"/>
      <c r="K754" s="71"/>
      <c r="L754" s="71"/>
    </row>
    <row r="755" spans="6:12" x14ac:dyDescent="0.3">
      <c r="F755" s="50"/>
      <c r="G755" s="51"/>
      <c r="H755" s="48"/>
      <c r="I755" s="70"/>
      <c r="J755" s="70"/>
      <c r="K755" s="71"/>
      <c r="L755" s="71"/>
    </row>
    <row r="756" spans="6:12" x14ac:dyDescent="0.3">
      <c r="F756" s="50"/>
      <c r="G756" s="51"/>
      <c r="H756" s="48"/>
      <c r="I756" s="70"/>
      <c r="J756" s="70"/>
      <c r="K756" s="71"/>
      <c r="L756" s="71"/>
    </row>
    <row r="757" spans="6:12" x14ac:dyDescent="0.3">
      <c r="F757" s="50"/>
      <c r="G757" s="51"/>
      <c r="H757" s="48"/>
      <c r="I757" s="70"/>
      <c r="J757" s="70"/>
      <c r="K757" s="71"/>
      <c r="L757" s="71"/>
    </row>
    <row r="758" spans="6:12" x14ac:dyDescent="0.3">
      <c r="F758" s="50"/>
      <c r="G758" s="51"/>
      <c r="H758" s="48"/>
      <c r="I758" s="70"/>
      <c r="J758" s="70"/>
      <c r="K758" s="71"/>
      <c r="L758" s="71"/>
    </row>
    <row r="759" spans="6:12" x14ac:dyDescent="0.3">
      <c r="F759" s="50"/>
      <c r="G759" s="51"/>
      <c r="H759" s="48"/>
      <c r="I759" s="70"/>
      <c r="J759" s="70"/>
      <c r="K759" s="71"/>
      <c r="L759" s="71"/>
    </row>
    <row r="760" spans="6:12" x14ac:dyDescent="0.3">
      <c r="F760" s="50"/>
      <c r="G760" s="51"/>
      <c r="H760" s="48"/>
      <c r="I760" s="70"/>
      <c r="J760" s="70"/>
      <c r="K760" s="71"/>
      <c r="L760" s="71"/>
    </row>
    <row r="761" spans="6:12" x14ac:dyDescent="0.3">
      <c r="F761" s="50"/>
      <c r="G761" s="51"/>
      <c r="H761" s="48"/>
      <c r="I761" s="70"/>
      <c r="J761" s="70"/>
      <c r="K761" s="71"/>
      <c r="L761" s="71"/>
    </row>
    <row r="762" spans="6:12" x14ac:dyDescent="0.3">
      <c r="F762" s="50"/>
      <c r="G762" s="51"/>
      <c r="H762" s="48"/>
      <c r="I762" s="70"/>
      <c r="J762" s="70"/>
      <c r="K762" s="71"/>
      <c r="L762" s="71"/>
    </row>
    <row r="763" spans="6:12" x14ac:dyDescent="0.3">
      <c r="F763" s="50"/>
      <c r="G763" s="51"/>
      <c r="H763" s="48"/>
      <c r="I763" s="70"/>
      <c r="J763" s="70"/>
      <c r="K763" s="71"/>
      <c r="L763" s="71"/>
    </row>
    <row r="764" spans="6:12" x14ac:dyDescent="0.3">
      <c r="F764" s="50"/>
      <c r="G764" s="51"/>
      <c r="H764" s="48"/>
      <c r="I764" s="70"/>
      <c r="J764" s="70"/>
      <c r="K764" s="71"/>
      <c r="L764" s="71"/>
    </row>
    <row r="765" spans="6:12" x14ac:dyDescent="0.3">
      <c r="F765" s="50"/>
      <c r="G765" s="51"/>
      <c r="H765" s="48"/>
      <c r="I765" s="70"/>
      <c r="J765" s="70"/>
      <c r="K765" s="71"/>
      <c r="L765" s="71"/>
    </row>
    <row r="766" spans="6:12" x14ac:dyDescent="0.3">
      <c r="F766" s="50"/>
      <c r="G766" s="51"/>
      <c r="H766" s="48"/>
      <c r="I766" s="70"/>
      <c r="J766" s="70"/>
      <c r="K766" s="71"/>
      <c r="L766" s="71"/>
    </row>
    <row r="767" spans="6:12" x14ac:dyDescent="0.3">
      <c r="F767" s="50"/>
      <c r="G767" s="51"/>
      <c r="H767" s="48"/>
      <c r="I767" s="70"/>
      <c r="J767" s="70"/>
      <c r="K767" s="71"/>
      <c r="L767" s="71"/>
    </row>
    <row r="768" spans="6:12" x14ac:dyDescent="0.3">
      <c r="F768" s="50"/>
      <c r="G768" s="51"/>
      <c r="H768" s="48"/>
      <c r="I768" s="70"/>
      <c r="J768" s="70"/>
      <c r="K768" s="71"/>
      <c r="L768" s="71"/>
    </row>
    <row r="769" spans="6:12" x14ac:dyDescent="0.3">
      <c r="F769" s="50"/>
      <c r="G769" s="51"/>
      <c r="H769" s="48"/>
      <c r="I769" s="70"/>
      <c r="J769" s="70"/>
      <c r="K769" s="71"/>
      <c r="L769" s="71"/>
    </row>
    <row r="770" spans="6:12" x14ac:dyDescent="0.3">
      <c r="F770" s="50"/>
      <c r="G770" s="51"/>
      <c r="H770" s="48"/>
      <c r="I770" s="70"/>
      <c r="J770" s="70"/>
      <c r="K770" s="71"/>
      <c r="L770" s="71"/>
    </row>
    <row r="771" spans="6:12" x14ac:dyDescent="0.3">
      <c r="F771" s="50"/>
      <c r="G771" s="51"/>
      <c r="H771" s="48"/>
      <c r="I771" s="70"/>
      <c r="J771" s="70"/>
      <c r="K771" s="71"/>
      <c r="L771" s="71"/>
    </row>
    <row r="772" spans="6:12" x14ac:dyDescent="0.3">
      <c r="F772" s="50"/>
      <c r="G772" s="51"/>
      <c r="H772" s="48"/>
      <c r="I772" s="70"/>
      <c r="J772" s="70"/>
      <c r="K772" s="71"/>
      <c r="L772" s="71"/>
    </row>
    <row r="773" spans="6:12" x14ac:dyDescent="0.3">
      <c r="F773" s="50"/>
      <c r="G773" s="51"/>
      <c r="H773" s="48"/>
      <c r="I773" s="70"/>
      <c r="J773" s="70"/>
      <c r="K773" s="71"/>
      <c r="L773" s="71"/>
    </row>
    <row r="774" spans="6:12" x14ac:dyDescent="0.3">
      <c r="F774" s="50"/>
      <c r="G774" s="51"/>
      <c r="H774" s="48"/>
      <c r="I774" s="70"/>
      <c r="J774" s="70"/>
      <c r="K774" s="71"/>
      <c r="L774" s="71"/>
    </row>
    <row r="775" spans="6:12" x14ac:dyDescent="0.3">
      <c r="F775" s="50"/>
      <c r="G775" s="51"/>
      <c r="H775" s="48"/>
      <c r="I775" s="70"/>
      <c r="J775" s="70"/>
      <c r="K775" s="71"/>
      <c r="L775" s="71"/>
    </row>
    <row r="776" spans="6:12" x14ac:dyDescent="0.3">
      <c r="F776" s="50"/>
      <c r="G776" s="51"/>
      <c r="H776" s="48"/>
      <c r="I776" s="70"/>
      <c r="J776" s="70"/>
      <c r="K776" s="71"/>
      <c r="L776" s="71"/>
    </row>
    <row r="777" spans="6:12" x14ac:dyDescent="0.3">
      <c r="F777" s="50"/>
      <c r="G777" s="51"/>
      <c r="H777" s="48"/>
      <c r="I777" s="70"/>
      <c r="J777" s="70"/>
      <c r="K777" s="71"/>
      <c r="L777" s="71"/>
    </row>
    <row r="778" spans="6:12" x14ac:dyDescent="0.3">
      <c r="F778" s="50"/>
      <c r="G778" s="51"/>
      <c r="H778" s="48"/>
      <c r="I778" s="70"/>
      <c r="J778" s="70"/>
      <c r="K778" s="71"/>
      <c r="L778" s="71"/>
    </row>
    <row r="779" spans="6:12" x14ac:dyDescent="0.3">
      <c r="F779" s="50"/>
      <c r="G779" s="51"/>
      <c r="H779" s="48"/>
      <c r="I779" s="70"/>
      <c r="J779" s="70"/>
      <c r="K779" s="71"/>
      <c r="L779" s="71"/>
    </row>
    <row r="780" spans="6:12" x14ac:dyDescent="0.3">
      <c r="F780" s="50"/>
      <c r="G780" s="51"/>
      <c r="H780" s="48"/>
      <c r="I780" s="70"/>
      <c r="J780" s="70"/>
      <c r="K780" s="71"/>
      <c r="L780" s="71"/>
    </row>
    <row r="781" spans="6:12" x14ac:dyDescent="0.3">
      <c r="F781" s="50"/>
      <c r="G781" s="51"/>
      <c r="H781" s="48"/>
      <c r="I781" s="70"/>
      <c r="J781" s="70"/>
      <c r="K781" s="71"/>
      <c r="L781" s="71"/>
    </row>
    <row r="782" spans="6:12" x14ac:dyDescent="0.3">
      <c r="F782" s="50"/>
      <c r="G782" s="51"/>
      <c r="H782" s="48"/>
      <c r="I782" s="70"/>
      <c r="J782" s="70"/>
      <c r="K782" s="71"/>
      <c r="L782" s="71"/>
    </row>
    <row r="783" spans="6:12" x14ac:dyDescent="0.3">
      <c r="F783" s="50"/>
      <c r="G783" s="51"/>
      <c r="H783" s="48"/>
      <c r="I783" s="70"/>
      <c r="J783" s="70"/>
      <c r="K783" s="71"/>
      <c r="L783" s="71"/>
    </row>
    <row r="784" spans="6:12" x14ac:dyDescent="0.3">
      <c r="F784" s="50"/>
      <c r="G784" s="51"/>
      <c r="H784" s="48"/>
      <c r="I784" s="70"/>
      <c r="J784" s="70"/>
      <c r="K784" s="71"/>
      <c r="L784" s="71"/>
    </row>
    <row r="785" spans="6:12" x14ac:dyDescent="0.3">
      <c r="F785" s="50"/>
      <c r="G785" s="51"/>
      <c r="H785" s="48"/>
      <c r="I785" s="70"/>
      <c r="J785" s="70"/>
      <c r="K785" s="71"/>
      <c r="L785" s="71"/>
    </row>
    <row r="786" spans="6:12" x14ac:dyDescent="0.3">
      <c r="F786" s="50"/>
      <c r="G786" s="51"/>
      <c r="H786" s="48"/>
      <c r="I786" s="70"/>
      <c r="J786" s="70"/>
      <c r="K786" s="71"/>
      <c r="L786" s="71"/>
    </row>
    <row r="787" spans="6:12" x14ac:dyDescent="0.3">
      <c r="F787" s="50"/>
      <c r="G787" s="51"/>
      <c r="H787" s="48"/>
      <c r="I787" s="70"/>
      <c r="J787" s="70"/>
      <c r="K787" s="71"/>
      <c r="L787" s="71"/>
    </row>
    <row r="788" spans="6:12" x14ac:dyDescent="0.3">
      <c r="F788" s="50"/>
      <c r="G788" s="51"/>
      <c r="H788" s="48"/>
      <c r="I788" s="70"/>
      <c r="J788" s="70"/>
      <c r="K788" s="71"/>
      <c r="L788" s="71"/>
    </row>
    <row r="789" spans="6:12" x14ac:dyDescent="0.3">
      <c r="F789" s="50"/>
      <c r="G789" s="51"/>
      <c r="H789" s="48"/>
      <c r="I789" s="70"/>
      <c r="J789" s="70"/>
      <c r="K789" s="71"/>
      <c r="L789" s="71"/>
    </row>
    <row r="790" spans="6:12" x14ac:dyDescent="0.3">
      <c r="F790" s="50"/>
      <c r="G790" s="51"/>
      <c r="H790" s="48"/>
      <c r="I790" s="70"/>
      <c r="J790" s="70"/>
      <c r="K790" s="71"/>
      <c r="L790" s="71"/>
    </row>
    <row r="791" spans="6:12" x14ac:dyDescent="0.3">
      <c r="F791" s="50"/>
      <c r="G791" s="51"/>
      <c r="H791" s="48"/>
      <c r="I791" s="70"/>
      <c r="J791" s="70"/>
      <c r="K791" s="71"/>
      <c r="L791" s="71"/>
    </row>
    <row r="792" spans="6:12" x14ac:dyDescent="0.3">
      <c r="F792" s="50"/>
      <c r="G792" s="51"/>
      <c r="H792" s="48"/>
      <c r="I792" s="70"/>
      <c r="J792" s="70"/>
      <c r="K792" s="71"/>
      <c r="L792" s="71"/>
    </row>
    <row r="793" spans="6:12" x14ac:dyDescent="0.3">
      <c r="F793" s="50"/>
      <c r="G793" s="51"/>
      <c r="H793" s="48"/>
      <c r="I793" s="70"/>
      <c r="J793" s="70"/>
      <c r="K793" s="71"/>
      <c r="L793" s="71"/>
    </row>
    <row r="794" spans="6:12" x14ac:dyDescent="0.3">
      <c r="F794" s="50"/>
      <c r="G794" s="51"/>
      <c r="H794" s="48"/>
      <c r="I794" s="70"/>
      <c r="J794" s="70"/>
      <c r="K794" s="71"/>
      <c r="L794" s="71"/>
    </row>
    <row r="795" spans="6:12" x14ac:dyDescent="0.3">
      <c r="F795" s="50"/>
      <c r="G795" s="51"/>
      <c r="H795" s="48"/>
      <c r="I795" s="70"/>
      <c r="J795" s="70"/>
      <c r="K795" s="71"/>
      <c r="L795" s="71"/>
    </row>
    <row r="796" spans="6:12" x14ac:dyDescent="0.3">
      <c r="F796" s="50"/>
      <c r="G796" s="51"/>
      <c r="H796" s="48"/>
      <c r="I796" s="70"/>
      <c r="J796" s="70"/>
      <c r="K796" s="71"/>
      <c r="L796" s="71"/>
    </row>
    <row r="797" spans="6:12" x14ac:dyDescent="0.3">
      <c r="F797" s="50"/>
      <c r="G797" s="51"/>
      <c r="H797" s="48"/>
      <c r="I797" s="70"/>
      <c r="J797" s="70"/>
      <c r="K797" s="71"/>
      <c r="L797" s="71"/>
    </row>
    <row r="798" spans="6:12" x14ac:dyDescent="0.3">
      <c r="F798" s="50"/>
      <c r="G798" s="51"/>
      <c r="H798" s="48"/>
      <c r="I798" s="70"/>
      <c r="J798" s="70"/>
      <c r="K798" s="71"/>
      <c r="L798" s="71"/>
    </row>
    <row r="799" spans="6:12" x14ac:dyDescent="0.3">
      <c r="F799" s="50"/>
      <c r="G799" s="51"/>
      <c r="H799" s="48"/>
      <c r="I799" s="70"/>
      <c r="J799" s="70"/>
      <c r="K799" s="71"/>
      <c r="L799" s="71"/>
    </row>
    <row r="800" spans="6:12" x14ac:dyDescent="0.3">
      <c r="F800" s="50"/>
      <c r="G800" s="51"/>
      <c r="H800" s="48"/>
      <c r="I800" s="70"/>
      <c r="J800" s="70"/>
      <c r="K800" s="71"/>
      <c r="L800" s="71"/>
    </row>
    <row r="801" spans="6:12" x14ac:dyDescent="0.3">
      <c r="F801" s="50"/>
      <c r="G801" s="51"/>
      <c r="H801" s="48"/>
      <c r="I801" s="70"/>
      <c r="J801" s="70"/>
      <c r="K801" s="71"/>
      <c r="L801" s="71"/>
    </row>
    <row r="802" spans="6:12" x14ac:dyDescent="0.3">
      <c r="F802" s="50"/>
      <c r="G802" s="51"/>
      <c r="H802" s="48"/>
      <c r="I802" s="70"/>
      <c r="J802" s="70"/>
      <c r="K802" s="71"/>
      <c r="L802" s="71"/>
    </row>
    <row r="803" spans="6:12" x14ac:dyDescent="0.3">
      <c r="F803" s="50"/>
      <c r="G803" s="51"/>
      <c r="H803" s="48"/>
      <c r="I803" s="70"/>
      <c r="J803" s="70"/>
      <c r="K803" s="71"/>
      <c r="L803" s="71"/>
    </row>
    <row r="804" spans="6:12" x14ac:dyDescent="0.3">
      <c r="F804" s="50"/>
      <c r="G804" s="51"/>
      <c r="H804" s="48"/>
      <c r="I804" s="70"/>
      <c r="J804" s="70"/>
      <c r="K804" s="71"/>
      <c r="L804" s="71"/>
    </row>
    <row r="805" spans="6:12" x14ac:dyDescent="0.3">
      <c r="F805" s="50"/>
      <c r="G805" s="51"/>
      <c r="H805" s="48"/>
      <c r="I805" s="70"/>
      <c r="J805" s="70"/>
      <c r="K805" s="71"/>
      <c r="L805" s="71"/>
    </row>
    <row r="806" spans="6:12" x14ac:dyDescent="0.3">
      <c r="F806" s="50"/>
      <c r="G806" s="51"/>
      <c r="H806" s="48"/>
      <c r="I806" s="70"/>
      <c r="J806" s="70"/>
      <c r="K806" s="71"/>
      <c r="L806" s="71"/>
    </row>
    <row r="807" spans="6:12" x14ac:dyDescent="0.3">
      <c r="F807" s="50"/>
      <c r="G807" s="51"/>
      <c r="H807" s="48"/>
      <c r="I807" s="70"/>
      <c r="J807" s="70"/>
      <c r="K807" s="71"/>
      <c r="L807" s="71"/>
    </row>
    <row r="808" spans="6:12" x14ac:dyDescent="0.3">
      <c r="F808" s="50"/>
      <c r="G808" s="51"/>
      <c r="H808" s="48"/>
      <c r="I808" s="70"/>
      <c r="J808" s="70"/>
      <c r="K808" s="71"/>
      <c r="L808" s="71"/>
    </row>
    <row r="809" spans="6:12" x14ac:dyDescent="0.3">
      <c r="F809" s="50"/>
      <c r="G809" s="51"/>
      <c r="H809" s="48"/>
      <c r="I809" s="70"/>
      <c r="J809" s="70"/>
      <c r="K809" s="71"/>
      <c r="L809" s="71"/>
    </row>
    <row r="810" spans="6:12" x14ac:dyDescent="0.3">
      <c r="F810" s="50"/>
      <c r="G810" s="51"/>
      <c r="H810" s="48"/>
      <c r="I810" s="70"/>
      <c r="J810" s="70"/>
      <c r="K810" s="71"/>
      <c r="L810" s="71"/>
    </row>
    <row r="811" spans="6:12" x14ac:dyDescent="0.3">
      <c r="F811" s="50"/>
      <c r="G811" s="51"/>
      <c r="H811" s="48"/>
      <c r="I811" s="70"/>
      <c r="J811" s="70"/>
      <c r="K811" s="71"/>
      <c r="L811" s="71"/>
    </row>
    <row r="812" spans="6:12" x14ac:dyDescent="0.3">
      <c r="F812" s="50"/>
      <c r="G812" s="51"/>
      <c r="H812" s="48"/>
      <c r="I812" s="70"/>
      <c r="J812" s="70"/>
      <c r="K812" s="71"/>
      <c r="L812" s="71"/>
    </row>
    <row r="813" spans="6:12" x14ac:dyDescent="0.3">
      <c r="F813" s="50"/>
      <c r="G813" s="51"/>
      <c r="H813" s="48"/>
      <c r="I813" s="70"/>
      <c r="J813" s="70"/>
      <c r="K813" s="71"/>
      <c r="L813" s="71"/>
    </row>
    <row r="814" spans="6:12" x14ac:dyDescent="0.3">
      <c r="F814" s="50"/>
      <c r="G814" s="51"/>
      <c r="H814" s="48"/>
      <c r="I814" s="70"/>
      <c r="J814" s="70"/>
      <c r="K814" s="71"/>
      <c r="L814" s="71"/>
    </row>
    <row r="815" spans="6:12" x14ac:dyDescent="0.3">
      <c r="F815" s="50"/>
      <c r="G815" s="51"/>
      <c r="H815" s="48"/>
      <c r="I815" s="70"/>
      <c r="J815" s="70"/>
      <c r="K815" s="71"/>
      <c r="L815" s="71"/>
    </row>
    <row r="816" spans="6:12" x14ac:dyDescent="0.3">
      <c r="F816" s="50"/>
      <c r="G816" s="51"/>
      <c r="H816" s="48"/>
      <c r="I816" s="70"/>
      <c r="J816" s="70"/>
      <c r="K816" s="71"/>
      <c r="L816" s="71"/>
    </row>
    <row r="817" spans="6:12" x14ac:dyDescent="0.3">
      <c r="F817" s="50"/>
      <c r="G817" s="51"/>
      <c r="H817" s="48"/>
      <c r="I817" s="70"/>
      <c r="J817" s="70"/>
      <c r="K817" s="71"/>
      <c r="L817" s="71"/>
    </row>
    <row r="818" spans="6:12" x14ac:dyDescent="0.3">
      <c r="F818" s="50"/>
      <c r="G818" s="51"/>
      <c r="H818" s="48"/>
      <c r="I818" s="70"/>
      <c r="J818" s="70"/>
      <c r="K818" s="71"/>
      <c r="L818" s="71"/>
    </row>
    <row r="819" spans="6:12" x14ac:dyDescent="0.3">
      <c r="F819" s="50"/>
      <c r="G819" s="51"/>
      <c r="H819" s="48"/>
      <c r="I819" s="70"/>
      <c r="J819" s="70"/>
      <c r="K819" s="71"/>
      <c r="L819" s="71"/>
    </row>
    <row r="820" spans="6:12" x14ac:dyDescent="0.3">
      <c r="F820" s="50"/>
      <c r="G820" s="51"/>
      <c r="H820" s="48"/>
      <c r="I820" s="70"/>
      <c r="J820" s="70"/>
      <c r="K820" s="71"/>
      <c r="L820" s="71"/>
    </row>
    <row r="821" spans="6:12" x14ac:dyDescent="0.3">
      <c r="F821" s="50"/>
      <c r="G821" s="51"/>
      <c r="H821" s="48"/>
      <c r="I821" s="70"/>
      <c r="J821" s="70"/>
      <c r="K821" s="71"/>
      <c r="L821" s="71"/>
    </row>
    <row r="822" spans="6:12" x14ac:dyDescent="0.3">
      <c r="F822" s="50"/>
      <c r="G822" s="51"/>
      <c r="H822" s="48"/>
      <c r="I822" s="70"/>
      <c r="J822" s="70"/>
      <c r="K822" s="71"/>
      <c r="L822" s="71"/>
    </row>
    <row r="823" spans="6:12" x14ac:dyDescent="0.3">
      <c r="F823" s="50"/>
      <c r="G823" s="51"/>
      <c r="H823" s="48"/>
      <c r="I823" s="70"/>
      <c r="J823" s="70"/>
      <c r="K823" s="71"/>
      <c r="L823" s="71"/>
    </row>
    <row r="824" spans="6:12" x14ac:dyDescent="0.3">
      <c r="F824" s="50"/>
      <c r="G824" s="51"/>
      <c r="H824" s="48"/>
      <c r="I824" s="70"/>
      <c r="J824" s="70"/>
      <c r="K824" s="71"/>
      <c r="L824" s="71"/>
    </row>
    <row r="825" spans="6:12" x14ac:dyDescent="0.3">
      <c r="F825" s="50"/>
      <c r="G825" s="51"/>
      <c r="H825" s="48"/>
      <c r="I825" s="70"/>
      <c r="J825" s="70"/>
      <c r="K825" s="71"/>
      <c r="L825" s="71"/>
    </row>
    <row r="826" spans="6:12" x14ac:dyDescent="0.3">
      <c r="F826" s="50"/>
      <c r="G826" s="51"/>
      <c r="H826" s="48"/>
      <c r="I826" s="70"/>
      <c r="J826" s="70"/>
      <c r="K826" s="71"/>
      <c r="L826" s="71"/>
    </row>
    <row r="827" spans="6:12" x14ac:dyDescent="0.3">
      <c r="F827" s="50"/>
      <c r="G827" s="51"/>
      <c r="H827" s="48"/>
      <c r="I827" s="70"/>
      <c r="J827" s="70"/>
      <c r="K827" s="71"/>
      <c r="L827" s="71"/>
    </row>
    <row r="828" spans="6:12" x14ac:dyDescent="0.3">
      <c r="F828" s="50"/>
      <c r="G828" s="51"/>
      <c r="H828" s="48"/>
      <c r="I828" s="70"/>
      <c r="J828" s="70"/>
      <c r="K828" s="71"/>
      <c r="L828" s="71"/>
    </row>
    <row r="829" spans="6:12" x14ac:dyDescent="0.3">
      <c r="F829" s="50"/>
      <c r="G829" s="51"/>
      <c r="H829" s="48"/>
      <c r="I829" s="70"/>
      <c r="J829" s="70"/>
      <c r="K829" s="71"/>
      <c r="L829" s="71"/>
    </row>
    <row r="830" spans="6:12" x14ac:dyDescent="0.3">
      <c r="F830" s="50"/>
      <c r="G830" s="51"/>
      <c r="H830" s="48"/>
      <c r="I830" s="70"/>
      <c r="J830" s="70"/>
      <c r="K830" s="71"/>
      <c r="L830" s="71"/>
    </row>
    <row r="831" spans="6:12" x14ac:dyDescent="0.3">
      <c r="F831" s="50"/>
      <c r="G831" s="51"/>
      <c r="H831" s="48"/>
      <c r="I831" s="70"/>
      <c r="J831" s="70"/>
      <c r="K831" s="71"/>
      <c r="L831" s="71"/>
    </row>
    <row r="832" spans="6:12" x14ac:dyDescent="0.3">
      <c r="F832" s="50"/>
      <c r="G832" s="51"/>
      <c r="H832" s="48"/>
      <c r="I832" s="70"/>
      <c r="J832" s="70"/>
      <c r="K832" s="71"/>
      <c r="L832" s="71"/>
    </row>
    <row r="833" spans="6:12" x14ac:dyDescent="0.3">
      <c r="F833" s="50"/>
      <c r="G833" s="51"/>
      <c r="H833" s="48"/>
      <c r="I833" s="70"/>
      <c r="J833" s="70"/>
      <c r="K833" s="71"/>
      <c r="L833" s="71"/>
    </row>
    <row r="834" spans="6:12" x14ac:dyDescent="0.3">
      <c r="F834" s="50"/>
      <c r="G834" s="51"/>
      <c r="H834" s="48"/>
      <c r="I834" s="70"/>
      <c r="J834" s="70"/>
      <c r="K834" s="71"/>
      <c r="L834" s="71"/>
    </row>
    <row r="835" spans="6:12" x14ac:dyDescent="0.3">
      <c r="F835" s="50"/>
      <c r="G835" s="51"/>
      <c r="H835" s="48"/>
      <c r="I835" s="70"/>
      <c r="J835" s="70"/>
      <c r="K835" s="71"/>
      <c r="L835" s="71"/>
    </row>
    <row r="836" spans="6:12" x14ac:dyDescent="0.3">
      <c r="F836" s="50"/>
      <c r="G836" s="51"/>
      <c r="H836" s="48"/>
      <c r="I836" s="70"/>
      <c r="J836" s="70"/>
      <c r="K836" s="71"/>
      <c r="L836" s="71"/>
    </row>
    <row r="837" spans="6:12" x14ac:dyDescent="0.3">
      <c r="F837" s="50"/>
      <c r="G837" s="51"/>
      <c r="H837" s="48"/>
      <c r="I837" s="70"/>
      <c r="J837" s="70"/>
      <c r="K837" s="71"/>
      <c r="L837" s="71"/>
    </row>
    <row r="838" spans="6:12" x14ac:dyDescent="0.3">
      <c r="F838" s="50"/>
      <c r="G838" s="51"/>
      <c r="H838" s="48"/>
      <c r="I838" s="70"/>
      <c r="J838" s="70"/>
      <c r="K838" s="71"/>
      <c r="L838" s="71"/>
    </row>
    <row r="839" spans="6:12" x14ac:dyDescent="0.3">
      <c r="F839" s="50"/>
      <c r="G839" s="51"/>
      <c r="H839" s="48"/>
      <c r="I839" s="70"/>
      <c r="J839" s="70"/>
      <c r="K839" s="71"/>
      <c r="L839" s="71"/>
    </row>
    <row r="840" spans="6:12" x14ac:dyDescent="0.3">
      <c r="F840" s="50"/>
      <c r="G840" s="51"/>
      <c r="H840" s="48"/>
      <c r="I840" s="70"/>
      <c r="J840" s="70"/>
      <c r="K840" s="71"/>
      <c r="L840" s="71"/>
    </row>
    <row r="841" spans="6:12" x14ac:dyDescent="0.3">
      <c r="F841" s="50"/>
      <c r="G841" s="51"/>
      <c r="H841" s="48"/>
      <c r="I841" s="70"/>
      <c r="J841" s="70"/>
      <c r="K841" s="71"/>
      <c r="L841" s="71"/>
    </row>
    <row r="842" spans="6:12" x14ac:dyDescent="0.3">
      <c r="F842" s="50"/>
      <c r="G842" s="51"/>
      <c r="H842" s="48"/>
      <c r="I842" s="70"/>
      <c r="J842" s="70"/>
      <c r="K842" s="71"/>
      <c r="L842" s="71"/>
    </row>
    <row r="843" spans="6:12" x14ac:dyDescent="0.3">
      <c r="F843" s="50"/>
      <c r="G843" s="51"/>
      <c r="H843" s="48"/>
      <c r="I843" s="70"/>
      <c r="J843" s="70"/>
      <c r="K843" s="71"/>
      <c r="L843" s="71"/>
    </row>
    <row r="844" spans="6:12" x14ac:dyDescent="0.3">
      <c r="F844" s="50"/>
      <c r="G844" s="51"/>
      <c r="H844" s="48"/>
      <c r="I844" s="70"/>
      <c r="J844" s="70"/>
      <c r="K844" s="71"/>
      <c r="L844" s="71"/>
    </row>
    <row r="845" spans="6:12" x14ac:dyDescent="0.3">
      <c r="F845" s="50"/>
      <c r="G845" s="51"/>
      <c r="H845" s="48"/>
      <c r="I845" s="70"/>
      <c r="J845" s="70"/>
      <c r="K845" s="71"/>
      <c r="L845" s="71"/>
    </row>
    <row r="846" spans="6:12" x14ac:dyDescent="0.3">
      <c r="F846" s="50"/>
      <c r="G846" s="51"/>
      <c r="H846" s="48"/>
      <c r="I846" s="70"/>
      <c r="J846" s="70"/>
      <c r="K846" s="71"/>
      <c r="L846" s="71"/>
    </row>
    <row r="847" spans="6:12" x14ac:dyDescent="0.3">
      <c r="F847" s="50"/>
      <c r="G847" s="51"/>
      <c r="H847" s="48"/>
      <c r="I847" s="70"/>
      <c r="J847" s="70"/>
      <c r="K847" s="71"/>
      <c r="L847" s="71"/>
    </row>
    <row r="848" spans="6:12" x14ac:dyDescent="0.3">
      <c r="F848" s="50"/>
      <c r="G848" s="51"/>
      <c r="H848" s="48"/>
      <c r="I848" s="70"/>
      <c r="J848" s="70"/>
      <c r="K848" s="71"/>
      <c r="L848" s="71"/>
    </row>
    <row r="849" spans="6:12" x14ac:dyDescent="0.3">
      <c r="F849" s="50"/>
      <c r="G849" s="51"/>
      <c r="H849" s="48"/>
      <c r="I849" s="70"/>
      <c r="J849" s="70"/>
      <c r="K849" s="71"/>
      <c r="L849" s="71"/>
    </row>
    <row r="850" spans="6:12" x14ac:dyDescent="0.3">
      <c r="F850" s="50"/>
      <c r="G850" s="51"/>
      <c r="H850" s="48"/>
      <c r="I850" s="70"/>
      <c r="J850" s="70"/>
      <c r="K850" s="71"/>
      <c r="L850" s="71"/>
    </row>
    <row r="851" spans="6:12" x14ac:dyDescent="0.3">
      <c r="F851" s="50"/>
      <c r="G851" s="51"/>
      <c r="H851" s="48"/>
      <c r="I851" s="70"/>
      <c r="J851" s="70"/>
      <c r="K851" s="71"/>
      <c r="L851" s="71"/>
    </row>
    <row r="852" spans="6:12" x14ac:dyDescent="0.3">
      <c r="F852" s="50"/>
      <c r="G852" s="51"/>
      <c r="H852" s="48"/>
      <c r="I852" s="70"/>
      <c r="J852" s="70"/>
      <c r="K852" s="71"/>
      <c r="L852" s="71"/>
    </row>
    <row r="853" spans="6:12" x14ac:dyDescent="0.3">
      <c r="F853" s="50"/>
      <c r="G853" s="51"/>
      <c r="H853" s="48"/>
      <c r="I853" s="70"/>
      <c r="J853" s="70"/>
      <c r="K853" s="71"/>
      <c r="L853" s="71"/>
    </row>
    <row r="854" spans="6:12" x14ac:dyDescent="0.3">
      <c r="F854" s="50"/>
      <c r="G854" s="51"/>
      <c r="H854" s="48"/>
      <c r="I854" s="70"/>
      <c r="J854" s="70"/>
      <c r="K854" s="71"/>
      <c r="L854" s="71"/>
    </row>
    <row r="855" spans="6:12" x14ac:dyDescent="0.3">
      <c r="F855" s="50"/>
      <c r="G855" s="51"/>
      <c r="H855" s="48"/>
      <c r="I855" s="70"/>
      <c r="J855" s="70"/>
      <c r="K855" s="71"/>
      <c r="L855" s="71"/>
    </row>
    <row r="856" spans="6:12" x14ac:dyDescent="0.3">
      <c r="F856" s="50"/>
      <c r="G856" s="51"/>
      <c r="H856" s="48"/>
      <c r="I856" s="70"/>
      <c r="J856" s="70"/>
      <c r="K856" s="71"/>
      <c r="L856" s="71"/>
    </row>
    <row r="857" spans="6:12" x14ac:dyDescent="0.3">
      <c r="F857" s="50"/>
      <c r="G857" s="51"/>
      <c r="H857" s="48"/>
      <c r="I857" s="70"/>
      <c r="J857" s="70"/>
      <c r="K857" s="71"/>
      <c r="L857" s="71"/>
    </row>
    <row r="858" spans="6:12" x14ac:dyDescent="0.3">
      <c r="F858" s="50"/>
      <c r="G858" s="51"/>
      <c r="H858" s="48"/>
      <c r="I858" s="70"/>
      <c r="J858" s="70"/>
      <c r="K858" s="71"/>
      <c r="L858" s="71"/>
    </row>
    <row r="859" spans="6:12" x14ac:dyDescent="0.3">
      <c r="F859" s="50"/>
      <c r="G859" s="51"/>
      <c r="H859" s="48"/>
      <c r="I859" s="70"/>
      <c r="J859" s="70"/>
      <c r="K859" s="71"/>
      <c r="L859" s="71"/>
    </row>
    <row r="860" spans="6:12" x14ac:dyDescent="0.3">
      <c r="F860" s="50"/>
      <c r="G860" s="51"/>
      <c r="H860" s="48"/>
      <c r="I860" s="70"/>
      <c r="J860" s="70"/>
      <c r="K860" s="71"/>
      <c r="L860" s="71"/>
    </row>
    <row r="861" spans="6:12" x14ac:dyDescent="0.3">
      <c r="F861" s="50"/>
      <c r="G861" s="51"/>
      <c r="H861" s="48"/>
      <c r="I861" s="70"/>
      <c r="J861" s="70"/>
      <c r="K861" s="71"/>
      <c r="L861" s="71"/>
    </row>
    <row r="862" spans="6:12" x14ac:dyDescent="0.3">
      <c r="F862" s="50"/>
      <c r="G862" s="51"/>
      <c r="H862" s="48"/>
      <c r="I862" s="70"/>
      <c r="J862" s="70"/>
      <c r="K862" s="71"/>
      <c r="L862" s="71"/>
    </row>
    <row r="863" spans="6:12" x14ac:dyDescent="0.3">
      <c r="F863" s="50"/>
      <c r="G863" s="51"/>
      <c r="H863" s="48"/>
      <c r="I863" s="70"/>
      <c r="J863" s="70"/>
      <c r="K863" s="71"/>
      <c r="L863" s="71"/>
    </row>
    <row r="864" spans="6:12" x14ac:dyDescent="0.3">
      <c r="F864" s="50"/>
      <c r="G864" s="51"/>
      <c r="H864" s="48"/>
      <c r="I864" s="70"/>
      <c r="J864" s="70"/>
      <c r="K864" s="71"/>
      <c r="L864" s="71"/>
    </row>
    <row r="865" spans="6:12" x14ac:dyDescent="0.3">
      <c r="F865" s="50"/>
      <c r="G865" s="51"/>
      <c r="H865" s="48"/>
      <c r="I865" s="70"/>
      <c r="J865" s="70"/>
      <c r="K865" s="71"/>
      <c r="L865" s="71"/>
    </row>
    <row r="866" spans="6:12" x14ac:dyDescent="0.3">
      <c r="F866" s="50"/>
      <c r="G866" s="51"/>
      <c r="H866" s="48"/>
      <c r="I866" s="70"/>
      <c r="J866" s="70"/>
      <c r="K866" s="71"/>
      <c r="L866" s="71"/>
    </row>
    <row r="867" spans="6:12" x14ac:dyDescent="0.3">
      <c r="F867" s="50"/>
      <c r="G867" s="51"/>
      <c r="H867" s="48"/>
      <c r="I867" s="70"/>
      <c r="J867" s="70"/>
      <c r="K867" s="71"/>
      <c r="L867" s="71"/>
    </row>
    <row r="868" spans="6:12" x14ac:dyDescent="0.3">
      <c r="F868" s="50"/>
      <c r="G868" s="51"/>
      <c r="H868" s="48"/>
      <c r="I868" s="70"/>
      <c r="J868" s="70"/>
      <c r="K868" s="71"/>
      <c r="L868" s="71"/>
    </row>
    <row r="869" spans="6:12" x14ac:dyDescent="0.3">
      <c r="F869" s="50"/>
      <c r="G869" s="51"/>
      <c r="H869" s="48"/>
      <c r="I869" s="70"/>
      <c r="J869" s="70"/>
      <c r="K869" s="71"/>
      <c r="L869" s="71"/>
    </row>
    <row r="870" spans="6:12" x14ac:dyDescent="0.3">
      <c r="F870" s="50"/>
      <c r="G870" s="51"/>
      <c r="H870" s="48"/>
      <c r="I870" s="70"/>
      <c r="J870" s="70"/>
      <c r="K870" s="71"/>
      <c r="L870" s="71"/>
    </row>
    <row r="871" spans="6:12" x14ac:dyDescent="0.3">
      <c r="F871" s="50"/>
      <c r="G871" s="51"/>
      <c r="H871" s="48"/>
      <c r="I871" s="70"/>
      <c r="J871" s="70"/>
      <c r="K871" s="71"/>
      <c r="L871" s="71"/>
    </row>
    <row r="872" spans="6:12" x14ac:dyDescent="0.3">
      <c r="F872" s="50"/>
      <c r="G872" s="51"/>
      <c r="H872" s="48"/>
      <c r="I872" s="70"/>
      <c r="J872" s="70"/>
      <c r="K872" s="71"/>
      <c r="L872" s="71"/>
    </row>
    <row r="873" spans="6:12" x14ac:dyDescent="0.3">
      <c r="F873" s="50"/>
      <c r="G873" s="51"/>
      <c r="H873" s="48"/>
      <c r="I873" s="70"/>
      <c r="J873" s="70"/>
      <c r="K873" s="71"/>
      <c r="L873" s="71"/>
    </row>
    <row r="874" spans="6:12" x14ac:dyDescent="0.3">
      <c r="F874" s="50"/>
      <c r="G874" s="51"/>
      <c r="H874" s="48"/>
      <c r="I874" s="70"/>
      <c r="J874" s="70"/>
      <c r="K874" s="71"/>
      <c r="L874" s="71"/>
    </row>
    <row r="875" spans="6:12" x14ac:dyDescent="0.3">
      <c r="F875" s="50"/>
      <c r="G875" s="51"/>
      <c r="H875" s="48"/>
      <c r="I875" s="70"/>
      <c r="J875" s="70"/>
      <c r="K875" s="71"/>
      <c r="L875" s="71"/>
    </row>
    <row r="876" spans="6:12" x14ac:dyDescent="0.3">
      <c r="F876" s="50"/>
      <c r="G876" s="51"/>
      <c r="H876" s="48"/>
      <c r="I876" s="70"/>
      <c r="J876" s="70"/>
      <c r="K876" s="71"/>
      <c r="L876" s="71"/>
    </row>
    <row r="877" spans="6:12" x14ac:dyDescent="0.3">
      <c r="F877" s="50"/>
      <c r="G877" s="51"/>
      <c r="H877" s="48"/>
      <c r="I877" s="70"/>
      <c r="J877" s="70"/>
      <c r="K877" s="71"/>
      <c r="L877" s="71"/>
    </row>
    <row r="878" spans="6:12" x14ac:dyDescent="0.3">
      <c r="F878" s="50"/>
      <c r="G878" s="51"/>
      <c r="H878" s="48"/>
      <c r="I878" s="70"/>
      <c r="J878" s="70"/>
      <c r="K878" s="71"/>
      <c r="L878" s="71"/>
    </row>
    <row r="879" spans="6:12" x14ac:dyDescent="0.3">
      <c r="F879" s="50"/>
      <c r="G879" s="51"/>
      <c r="H879" s="48"/>
      <c r="I879" s="70"/>
      <c r="J879" s="70"/>
      <c r="K879" s="71"/>
      <c r="L879" s="71"/>
    </row>
    <row r="880" spans="6:12" x14ac:dyDescent="0.3">
      <c r="F880" s="50"/>
      <c r="G880" s="51"/>
      <c r="H880" s="48"/>
      <c r="I880" s="70"/>
      <c r="J880" s="70"/>
      <c r="K880" s="71"/>
      <c r="L880" s="71"/>
    </row>
    <row r="881" spans="6:12" x14ac:dyDescent="0.3">
      <c r="F881" s="50"/>
      <c r="G881" s="51"/>
      <c r="H881" s="48"/>
      <c r="I881" s="70"/>
      <c r="J881" s="70"/>
      <c r="K881" s="71"/>
      <c r="L881" s="71"/>
    </row>
    <row r="882" spans="6:12" x14ac:dyDescent="0.3">
      <c r="F882" s="50"/>
      <c r="G882" s="51"/>
      <c r="H882" s="48"/>
      <c r="I882" s="70"/>
      <c r="J882" s="70"/>
      <c r="K882" s="71"/>
      <c r="L882" s="71"/>
    </row>
    <row r="883" spans="6:12" x14ac:dyDescent="0.3">
      <c r="F883" s="50"/>
      <c r="G883" s="51"/>
      <c r="H883" s="48"/>
      <c r="I883" s="70"/>
      <c r="J883" s="70"/>
      <c r="K883" s="71"/>
      <c r="L883" s="71"/>
    </row>
    <row r="884" spans="6:12" x14ac:dyDescent="0.3">
      <c r="F884" s="50"/>
      <c r="G884" s="51"/>
      <c r="H884" s="48"/>
      <c r="I884" s="70"/>
      <c r="J884" s="70"/>
      <c r="K884" s="71"/>
      <c r="L884" s="71"/>
    </row>
    <row r="885" spans="6:12" x14ac:dyDescent="0.3">
      <c r="F885" s="50"/>
      <c r="G885" s="51"/>
      <c r="H885" s="48"/>
      <c r="I885" s="70"/>
      <c r="J885" s="70"/>
      <c r="K885" s="71"/>
      <c r="L885" s="71"/>
    </row>
    <row r="886" spans="6:12" x14ac:dyDescent="0.3">
      <c r="F886" s="50"/>
      <c r="G886" s="51"/>
      <c r="H886" s="48"/>
      <c r="I886" s="70"/>
      <c r="J886" s="70"/>
      <c r="K886" s="71"/>
      <c r="L886" s="71"/>
    </row>
    <row r="887" spans="6:12" x14ac:dyDescent="0.3">
      <c r="F887" s="50"/>
      <c r="G887" s="51"/>
      <c r="H887" s="48"/>
      <c r="I887" s="70"/>
      <c r="J887" s="70"/>
      <c r="K887" s="71"/>
      <c r="L887" s="71"/>
    </row>
    <row r="888" spans="6:12" x14ac:dyDescent="0.3">
      <c r="F888" s="50"/>
      <c r="G888" s="51"/>
      <c r="H888" s="48"/>
      <c r="I888" s="70"/>
      <c r="J888" s="70"/>
      <c r="K888" s="71"/>
      <c r="L888" s="71"/>
    </row>
    <row r="889" spans="6:12" x14ac:dyDescent="0.3">
      <c r="F889" s="50"/>
      <c r="G889" s="51"/>
      <c r="H889" s="48"/>
      <c r="I889" s="70"/>
      <c r="J889" s="70"/>
      <c r="K889" s="71"/>
      <c r="L889" s="71"/>
    </row>
    <row r="890" spans="6:12" x14ac:dyDescent="0.3">
      <c r="F890" s="50"/>
      <c r="G890" s="51"/>
      <c r="H890" s="48"/>
      <c r="I890" s="70"/>
      <c r="J890" s="70"/>
      <c r="K890" s="71"/>
      <c r="L890" s="71"/>
    </row>
    <row r="891" spans="6:12" x14ac:dyDescent="0.3">
      <c r="F891" s="50"/>
      <c r="G891" s="51"/>
      <c r="H891" s="48"/>
      <c r="I891" s="70"/>
      <c r="J891" s="70"/>
      <c r="K891" s="71"/>
      <c r="L891" s="71"/>
    </row>
    <row r="892" spans="6:12" x14ac:dyDescent="0.3">
      <c r="F892" s="50"/>
      <c r="G892" s="51"/>
      <c r="H892" s="48"/>
      <c r="I892" s="70"/>
      <c r="J892" s="70"/>
      <c r="K892" s="71"/>
      <c r="L892" s="71"/>
    </row>
    <row r="893" spans="6:12" x14ac:dyDescent="0.3">
      <c r="F893" s="50"/>
      <c r="G893" s="51"/>
      <c r="H893" s="48"/>
      <c r="I893" s="70"/>
      <c r="J893" s="70"/>
      <c r="K893" s="71"/>
      <c r="L893" s="71"/>
    </row>
    <row r="894" spans="6:12" x14ac:dyDescent="0.3">
      <c r="F894" s="50"/>
      <c r="G894" s="51"/>
      <c r="H894" s="48"/>
      <c r="I894" s="70"/>
      <c r="J894" s="70"/>
      <c r="K894" s="71"/>
      <c r="L894" s="71"/>
    </row>
    <row r="895" spans="6:12" x14ac:dyDescent="0.3">
      <c r="F895" s="50"/>
      <c r="G895" s="51"/>
      <c r="H895" s="48"/>
      <c r="I895" s="70"/>
      <c r="J895" s="70"/>
      <c r="K895" s="71"/>
      <c r="L895" s="71"/>
    </row>
    <row r="896" spans="6:12" x14ac:dyDescent="0.3">
      <c r="F896" s="50"/>
      <c r="G896" s="51"/>
      <c r="H896" s="48"/>
      <c r="I896" s="70"/>
      <c r="J896" s="70"/>
      <c r="K896" s="71"/>
      <c r="L896" s="71"/>
    </row>
    <row r="897" spans="6:12" x14ac:dyDescent="0.3">
      <c r="F897" s="50"/>
      <c r="G897" s="51"/>
      <c r="H897" s="48"/>
      <c r="I897" s="70"/>
      <c r="J897" s="70"/>
      <c r="K897" s="71"/>
      <c r="L897" s="71"/>
    </row>
    <row r="898" spans="6:12" x14ac:dyDescent="0.3">
      <c r="F898" s="50"/>
      <c r="G898" s="51"/>
      <c r="H898" s="48"/>
      <c r="I898" s="70"/>
      <c r="J898" s="70"/>
      <c r="K898" s="71"/>
      <c r="L898" s="71"/>
    </row>
    <row r="899" spans="6:12" x14ac:dyDescent="0.3">
      <c r="F899" s="50"/>
      <c r="G899" s="51"/>
      <c r="H899" s="48"/>
      <c r="I899" s="70"/>
      <c r="J899" s="70"/>
      <c r="K899" s="71"/>
      <c r="L899" s="71"/>
    </row>
    <row r="900" spans="6:12" x14ac:dyDescent="0.3">
      <c r="F900" s="50"/>
      <c r="G900" s="51"/>
      <c r="H900" s="48"/>
      <c r="I900" s="70"/>
      <c r="J900" s="70"/>
      <c r="K900" s="71"/>
      <c r="L900" s="71"/>
    </row>
    <row r="901" spans="6:12" x14ac:dyDescent="0.3">
      <c r="F901" s="50"/>
      <c r="G901" s="51"/>
      <c r="H901" s="48"/>
      <c r="I901" s="70"/>
      <c r="J901" s="70"/>
      <c r="K901" s="71"/>
      <c r="L901" s="71"/>
    </row>
    <row r="902" spans="6:12" x14ac:dyDescent="0.3">
      <c r="F902" s="50"/>
      <c r="G902" s="51"/>
      <c r="H902" s="48"/>
      <c r="I902" s="70"/>
      <c r="J902" s="70"/>
      <c r="K902" s="71"/>
      <c r="L902" s="71"/>
    </row>
    <row r="903" spans="6:12" x14ac:dyDescent="0.3">
      <c r="F903" s="50"/>
      <c r="G903" s="51"/>
      <c r="H903" s="48"/>
      <c r="I903" s="70"/>
      <c r="J903" s="70"/>
      <c r="K903" s="71"/>
      <c r="L903" s="71"/>
    </row>
    <row r="904" spans="6:12" x14ac:dyDescent="0.3">
      <c r="F904" s="50"/>
      <c r="G904" s="51"/>
      <c r="H904" s="48"/>
      <c r="I904" s="70"/>
      <c r="J904" s="70"/>
      <c r="K904" s="71"/>
      <c r="L904" s="71"/>
    </row>
    <row r="905" spans="6:12" x14ac:dyDescent="0.3">
      <c r="F905" s="50"/>
      <c r="G905" s="51"/>
      <c r="H905" s="48"/>
      <c r="I905" s="70"/>
      <c r="J905" s="70"/>
      <c r="K905" s="71"/>
      <c r="L905" s="71"/>
    </row>
    <row r="906" spans="6:12" x14ac:dyDescent="0.3">
      <c r="F906" s="50"/>
      <c r="G906" s="51"/>
      <c r="H906" s="48"/>
      <c r="I906" s="70"/>
      <c r="J906" s="70"/>
      <c r="K906" s="71"/>
      <c r="L906" s="71"/>
    </row>
    <row r="907" spans="6:12" x14ac:dyDescent="0.3">
      <c r="F907" s="50"/>
      <c r="G907" s="51"/>
      <c r="H907" s="48"/>
      <c r="I907" s="70"/>
      <c r="J907" s="70"/>
      <c r="K907" s="71"/>
      <c r="L907" s="71"/>
    </row>
    <row r="908" spans="6:12" x14ac:dyDescent="0.3">
      <c r="F908" s="50"/>
      <c r="G908" s="51"/>
      <c r="H908" s="48"/>
      <c r="I908" s="70"/>
      <c r="J908" s="70"/>
      <c r="K908" s="71"/>
      <c r="L908" s="71"/>
    </row>
    <row r="909" spans="6:12" x14ac:dyDescent="0.3">
      <c r="F909" s="50"/>
      <c r="G909" s="51"/>
      <c r="H909" s="48"/>
      <c r="I909" s="70"/>
      <c r="J909" s="70"/>
      <c r="K909" s="71"/>
      <c r="L909" s="71"/>
    </row>
    <row r="910" spans="6:12" x14ac:dyDescent="0.3">
      <c r="F910" s="50"/>
      <c r="G910" s="51"/>
      <c r="H910" s="48"/>
      <c r="I910" s="70"/>
      <c r="J910" s="70"/>
      <c r="K910" s="71"/>
      <c r="L910" s="71"/>
    </row>
    <row r="911" spans="6:12" x14ac:dyDescent="0.3">
      <c r="F911" s="50"/>
      <c r="G911" s="51"/>
      <c r="H911" s="48"/>
      <c r="I911" s="70"/>
      <c r="J911" s="70"/>
      <c r="K911" s="71"/>
      <c r="L911" s="71"/>
    </row>
    <row r="912" spans="6:12" x14ac:dyDescent="0.3">
      <c r="F912" s="50"/>
      <c r="G912" s="51"/>
      <c r="H912" s="48"/>
      <c r="I912" s="70"/>
      <c r="J912" s="70"/>
      <c r="K912" s="71"/>
      <c r="L912" s="71"/>
    </row>
    <row r="913" spans="6:12" x14ac:dyDescent="0.3">
      <c r="F913" s="50"/>
      <c r="G913" s="51"/>
      <c r="H913" s="48"/>
      <c r="I913" s="70"/>
      <c r="J913" s="70"/>
      <c r="K913" s="71"/>
      <c r="L913" s="71"/>
    </row>
    <row r="914" spans="6:12" x14ac:dyDescent="0.3">
      <c r="F914" s="50"/>
      <c r="G914" s="51"/>
      <c r="H914" s="48"/>
      <c r="I914" s="70"/>
      <c r="J914" s="70"/>
      <c r="K914" s="71"/>
      <c r="L914" s="71"/>
    </row>
    <row r="915" spans="6:12" x14ac:dyDescent="0.3">
      <c r="F915" s="50"/>
      <c r="G915" s="51"/>
      <c r="H915" s="48"/>
      <c r="I915" s="70"/>
      <c r="J915" s="70"/>
      <c r="K915" s="71"/>
      <c r="L915" s="71"/>
    </row>
    <row r="916" spans="6:12" x14ac:dyDescent="0.3">
      <c r="F916" s="50"/>
      <c r="G916" s="51"/>
      <c r="H916" s="48"/>
      <c r="I916" s="70"/>
      <c r="J916" s="70"/>
      <c r="K916" s="71"/>
      <c r="L916" s="71"/>
    </row>
    <row r="917" spans="6:12" x14ac:dyDescent="0.3">
      <c r="F917" s="50"/>
      <c r="G917" s="51"/>
      <c r="H917" s="48"/>
      <c r="I917" s="70"/>
      <c r="J917" s="70"/>
      <c r="K917" s="71"/>
      <c r="L917" s="71"/>
    </row>
    <row r="918" spans="6:12" x14ac:dyDescent="0.3">
      <c r="F918" s="50"/>
      <c r="G918" s="51"/>
      <c r="H918" s="48"/>
      <c r="I918" s="70"/>
      <c r="J918" s="70"/>
      <c r="K918" s="71"/>
      <c r="L918" s="71"/>
    </row>
    <row r="919" spans="6:12" x14ac:dyDescent="0.3">
      <c r="F919" s="50"/>
      <c r="G919" s="51"/>
      <c r="H919" s="48"/>
      <c r="I919" s="70"/>
      <c r="J919" s="70"/>
      <c r="K919" s="71"/>
      <c r="L919" s="71"/>
    </row>
    <row r="920" spans="6:12" x14ac:dyDescent="0.3">
      <c r="F920" s="50"/>
      <c r="G920" s="51"/>
      <c r="H920" s="48"/>
      <c r="I920" s="70"/>
      <c r="J920" s="70"/>
      <c r="K920" s="71"/>
      <c r="L920" s="71"/>
    </row>
    <row r="921" spans="6:12" x14ac:dyDescent="0.3">
      <c r="F921" s="50"/>
      <c r="G921" s="51"/>
      <c r="H921" s="48"/>
      <c r="I921" s="70"/>
      <c r="J921" s="70"/>
      <c r="K921" s="71"/>
      <c r="L921" s="71"/>
    </row>
    <row r="922" spans="6:12" x14ac:dyDescent="0.3">
      <c r="F922" s="50"/>
      <c r="G922" s="51"/>
      <c r="H922" s="48"/>
      <c r="I922" s="70"/>
      <c r="J922" s="70"/>
      <c r="K922" s="71"/>
      <c r="L922" s="71"/>
    </row>
    <row r="923" spans="6:12" x14ac:dyDescent="0.3">
      <c r="F923" s="50"/>
      <c r="G923" s="51"/>
      <c r="H923" s="48"/>
      <c r="I923" s="70"/>
      <c r="J923" s="70"/>
      <c r="K923" s="71"/>
      <c r="L923" s="71"/>
    </row>
    <row r="924" spans="6:12" x14ac:dyDescent="0.3">
      <c r="F924" s="50"/>
      <c r="G924" s="51"/>
      <c r="H924" s="48"/>
      <c r="I924" s="70"/>
      <c r="J924" s="70"/>
      <c r="K924" s="71"/>
      <c r="L924" s="71"/>
    </row>
    <row r="925" spans="6:12" x14ac:dyDescent="0.3">
      <c r="F925" s="50"/>
      <c r="G925" s="51"/>
      <c r="H925" s="48"/>
      <c r="I925" s="70"/>
      <c r="J925" s="70"/>
      <c r="K925" s="71"/>
      <c r="L925" s="71"/>
    </row>
    <row r="926" spans="6:12" x14ac:dyDescent="0.3">
      <c r="F926" s="50"/>
      <c r="G926" s="51"/>
      <c r="H926" s="48"/>
      <c r="I926" s="70"/>
      <c r="J926" s="70"/>
      <c r="K926" s="71"/>
      <c r="L926" s="71"/>
    </row>
    <row r="927" spans="6:12" x14ac:dyDescent="0.3">
      <c r="F927" s="50"/>
      <c r="G927" s="51"/>
      <c r="H927" s="48"/>
      <c r="I927" s="70"/>
      <c r="J927" s="70"/>
      <c r="K927" s="71"/>
      <c r="L927" s="71"/>
    </row>
    <row r="928" spans="6:12" x14ac:dyDescent="0.3">
      <c r="F928" s="50"/>
      <c r="G928" s="51"/>
      <c r="H928" s="48"/>
      <c r="I928" s="70"/>
      <c r="J928" s="70"/>
      <c r="K928" s="71"/>
      <c r="L928" s="71"/>
    </row>
    <row r="929" spans="6:12" x14ac:dyDescent="0.3">
      <c r="F929" s="50"/>
      <c r="G929" s="51"/>
      <c r="H929" s="48"/>
      <c r="I929" s="70"/>
      <c r="J929" s="70"/>
      <c r="K929" s="71"/>
      <c r="L929" s="71"/>
    </row>
    <row r="930" spans="6:12" x14ac:dyDescent="0.3">
      <c r="F930" s="50"/>
      <c r="G930" s="51"/>
      <c r="H930" s="48"/>
      <c r="I930" s="70"/>
      <c r="J930" s="70"/>
      <c r="K930" s="71"/>
      <c r="L930" s="71"/>
    </row>
    <row r="931" spans="6:12" x14ac:dyDescent="0.3">
      <c r="F931" s="50"/>
      <c r="G931" s="51"/>
      <c r="H931" s="48"/>
      <c r="I931" s="70"/>
      <c r="J931" s="70"/>
      <c r="K931" s="71"/>
      <c r="L931" s="71"/>
    </row>
    <row r="932" spans="6:12" x14ac:dyDescent="0.3">
      <c r="F932" s="50"/>
      <c r="G932" s="51"/>
      <c r="H932" s="48"/>
      <c r="I932" s="70"/>
      <c r="J932" s="70"/>
      <c r="K932" s="71"/>
      <c r="L932" s="71"/>
    </row>
    <row r="933" spans="6:12" x14ac:dyDescent="0.3">
      <c r="F933" s="50"/>
      <c r="G933" s="51"/>
      <c r="H933" s="48"/>
      <c r="I933" s="70"/>
      <c r="J933" s="70"/>
      <c r="K933" s="71"/>
      <c r="L933" s="71"/>
    </row>
    <row r="934" spans="6:12" x14ac:dyDescent="0.3">
      <c r="F934" s="50"/>
      <c r="G934" s="51"/>
      <c r="H934" s="48"/>
      <c r="I934" s="70"/>
      <c r="J934" s="70"/>
      <c r="K934" s="71"/>
      <c r="L934" s="71"/>
    </row>
    <row r="935" spans="6:12" x14ac:dyDescent="0.3">
      <c r="F935" s="50"/>
      <c r="G935" s="51"/>
      <c r="H935" s="48"/>
      <c r="I935" s="70"/>
      <c r="J935" s="70"/>
      <c r="K935" s="71"/>
      <c r="L935" s="71"/>
    </row>
    <row r="936" spans="6:12" x14ac:dyDescent="0.3">
      <c r="F936" s="50"/>
      <c r="G936" s="51"/>
      <c r="H936" s="48"/>
      <c r="I936" s="70"/>
      <c r="J936" s="70"/>
      <c r="K936" s="71"/>
      <c r="L936" s="71"/>
    </row>
    <row r="937" spans="6:12" x14ac:dyDescent="0.3">
      <c r="F937" s="50"/>
      <c r="G937" s="51"/>
      <c r="H937" s="48"/>
      <c r="I937" s="70"/>
      <c r="J937" s="70"/>
      <c r="K937" s="71"/>
      <c r="L937" s="71"/>
    </row>
    <row r="938" spans="6:12" x14ac:dyDescent="0.3">
      <c r="F938" s="50"/>
      <c r="G938" s="51"/>
      <c r="H938" s="48"/>
      <c r="I938" s="70"/>
      <c r="J938" s="70"/>
      <c r="K938" s="71"/>
      <c r="L938" s="71"/>
    </row>
    <row r="939" spans="6:12" x14ac:dyDescent="0.3">
      <c r="F939" s="50"/>
      <c r="G939" s="51"/>
      <c r="H939" s="48"/>
      <c r="I939" s="70"/>
      <c r="J939" s="70"/>
      <c r="K939" s="71"/>
      <c r="L939" s="71"/>
    </row>
    <row r="940" spans="6:12" x14ac:dyDescent="0.3">
      <c r="F940" s="50"/>
      <c r="G940" s="51"/>
      <c r="H940" s="48"/>
      <c r="I940" s="70"/>
      <c r="J940" s="70"/>
      <c r="K940" s="71"/>
      <c r="L940" s="71"/>
    </row>
    <row r="941" spans="6:12" x14ac:dyDescent="0.3">
      <c r="F941" s="50"/>
      <c r="G941" s="51"/>
      <c r="H941" s="48"/>
      <c r="I941" s="70"/>
      <c r="J941" s="70"/>
      <c r="K941" s="71"/>
      <c r="L941" s="71"/>
    </row>
    <row r="942" spans="6:12" x14ac:dyDescent="0.3">
      <c r="F942" s="50"/>
      <c r="G942" s="51"/>
      <c r="H942" s="48"/>
      <c r="I942" s="70"/>
      <c r="J942" s="70"/>
      <c r="K942" s="71"/>
      <c r="L942" s="71"/>
    </row>
    <row r="943" spans="6:12" x14ac:dyDescent="0.3">
      <c r="F943" s="50"/>
      <c r="G943" s="51"/>
      <c r="H943" s="48"/>
      <c r="I943" s="70"/>
      <c r="J943" s="70"/>
      <c r="K943" s="71"/>
      <c r="L943" s="71"/>
    </row>
    <row r="944" spans="6:12" x14ac:dyDescent="0.3">
      <c r="F944" s="50"/>
      <c r="G944" s="51"/>
      <c r="H944" s="48"/>
      <c r="I944" s="70"/>
      <c r="J944" s="70"/>
      <c r="K944" s="71"/>
      <c r="L944" s="71"/>
    </row>
    <row r="945" spans="6:12" x14ac:dyDescent="0.3">
      <c r="F945" s="50"/>
      <c r="G945" s="51"/>
      <c r="H945" s="48"/>
      <c r="I945" s="70"/>
      <c r="J945" s="70"/>
      <c r="K945" s="71"/>
      <c r="L945" s="71"/>
    </row>
    <row r="946" spans="6:12" x14ac:dyDescent="0.3">
      <c r="F946" s="50"/>
      <c r="G946" s="51"/>
      <c r="H946" s="48"/>
      <c r="I946" s="70"/>
      <c r="J946" s="70"/>
      <c r="K946" s="71"/>
      <c r="L946" s="71"/>
    </row>
    <row r="947" spans="6:12" x14ac:dyDescent="0.3">
      <c r="F947" s="50"/>
      <c r="G947" s="51"/>
      <c r="H947" s="48"/>
      <c r="I947" s="70"/>
      <c r="J947" s="70"/>
      <c r="K947" s="71"/>
      <c r="L947" s="71"/>
    </row>
    <row r="948" spans="6:12" x14ac:dyDescent="0.3">
      <c r="F948" s="50"/>
      <c r="G948" s="51"/>
      <c r="H948" s="48"/>
      <c r="I948" s="70"/>
      <c r="J948" s="70"/>
      <c r="K948" s="71"/>
      <c r="L948" s="71"/>
    </row>
    <row r="949" spans="6:12" x14ac:dyDescent="0.3">
      <c r="F949" s="50"/>
      <c r="G949" s="51"/>
      <c r="H949" s="48"/>
      <c r="I949" s="70"/>
      <c r="J949" s="70"/>
      <c r="K949" s="71"/>
      <c r="L949" s="71"/>
    </row>
    <row r="950" spans="6:12" x14ac:dyDescent="0.3">
      <c r="F950" s="50"/>
      <c r="G950" s="51"/>
      <c r="H950" s="48"/>
      <c r="I950" s="70"/>
      <c r="J950" s="70"/>
      <c r="K950" s="71"/>
      <c r="L950" s="71"/>
    </row>
    <row r="951" spans="6:12" x14ac:dyDescent="0.3">
      <c r="F951" s="50"/>
      <c r="G951" s="51"/>
      <c r="H951" s="48"/>
      <c r="I951" s="70"/>
      <c r="J951" s="70"/>
      <c r="K951" s="71"/>
      <c r="L951" s="71"/>
    </row>
    <row r="952" spans="6:12" x14ac:dyDescent="0.3">
      <c r="F952" s="50"/>
      <c r="G952" s="51"/>
      <c r="H952" s="48"/>
      <c r="I952" s="70"/>
      <c r="J952" s="70"/>
      <c r="K952" s="71"/>
      <c r="L952" s="71"/>
    </row>
    <row r="953" spans="6:12" x14ac:dyDescent="0.3">
      <c r="F953" s="50"/>
      <c r="G953" s="51"/>
      <c r="H953" s="48"/>
      <c r="I953" s="70"/>
      <c r="J953" s="70"/>
      <c r="K953" s="71"/>
      <c r="L953" s="71"/>
    </row>
    <row r="954" spans="6:12" x14ac:dyDescent="0.3">
      <c r="F954" s="50"/>
      <c r="G954" s="51"/>
      <c r="H954" s="48"/>
      <c r="I954" s="70"/>
      <c r="J954" s="70"/>
      <c r="K954" s="71"/>
      <c r="L954" s="71"/>
    </row>
    <row r="955" spans="6:12" x14ac:dyDescent="0.3">
      <c r="F955" s="50"/>
      <c r="G955" s="51"/>
      <c r="H955" s="48"/>
      <c r="I955" s="70"/>
      <c r="J955" s="70"/>
      <c r="K955" s="71"/>
      <c r="L955" s="71"/>
    </row>
    <row r="956" spans="6:12" x14ac:dyDescent="0.3">
      <c r="F956" s="50"/>
      <c r="G956" s="51"/>
      <c r="H956" s="48"/>
      <c r="I956" s="70"/>
      <c r="J956" s="70"/>
      <c r="K956" s="71"/>
      <c r="L956" s="71"/>
    </row>
    <row r="957" spans="6:12" x14ac:dyDescent="0.3">
      <c r="F957" s="50"/>
      <c r="G957" s="51"/>
      <c r="H957" s="48"/>
      <c r="I957" s="70"/>
      <c r="J957" s="70"/>
      <c r="K957" s="71"/>
      <c r="L957" s="71"/>
    </row>
    <row r="958" spans="6:12" x14ac:dyDescent="0.3">
      <c r="F958" s="50"/>
      <c r="G958" s="51"/>
      <c r="H958" s="48"/>
      <c r="I958" s="70"/>
      <c r="J958" s="70"/>
      <c r="K958" s="71"/>
      <c r="L958" s="71"/>
    </row>
    <row r="959" spans="6:12" x14ac:dyDescent="0.3">
      <c r="F959" s="50"/>
      <c r="G959" s="51"/>
      <c r="H959" s="48"/>
      <c r="I959" s="70"/>
      <c r="J959" s="70"/>
      <c r="K959" s="71"/>
      <c r="L959" s="71"/>
    </row>
    <row r="960" spans="6:12" x14ac:dyDescent="0.3">
      <c r="F960" s="50"/>
      <c r="G960" s="51"/>
      <c r="H960" s="48"/>
      <c r="I960" s="70"/>
      <c r="J960" s="70"/>
      <c r="K960" s="71"/>
      <c r="L960" s="71"/>
    </row>
    <row r="961" spans="6:12" x14ac:dyDescent="0.3">
      <c r="F961" s="50"/>
      <c r="G961" s="51"/>
      <c r="H961" s="48"/>
      <c r="I961" s="70"/>
      <c r="J961" s="70"/>
      <c r="K961" s="71"/>
      <c r="L961" s="71"/>
    </row>
    <row r="962" spans="6:12" x14ac:dyDescent="0.3">
      <c r="F962" s="50"/>
      <c r="G962" s="51"/>
      <c r="H962" s="48"/>
      <c r="I962" s="70"/>
      <c r="J962" s="70"/>
      <c r="K962" s="71"/>
      <c r="L962" s="71"/>
    </row>
    <row r="963" spans="6:12" x14ac:dyDescent="0.3">
      <c r="F963" s="50"/>
      <c r="G963" s="51"/>
      <c r="H963" s="48"/>
      <c r="I963" s="70"/>
      <c r="J963" s="70"/>
      <c r="K963" s="71"/>
      <c r="L963" s="71"/>
    </row>
    <row r="964" spans="6:12" x14ac:dyDescent="0.3">
      <c r="F964" s="50"/>
      <c r="G964" s="51"/>
      <c r="H964" s="48"/>
      <c r="I964" s="70"/>
      <c r="J964" s="70"/>
      <c r="K964" s="71"/>
      <c r="L964" s="71"/>
    </row>
    <row r="965" spans="6:12" x14ac:dyDescent="0.3">
      <c r="F965" s="50"/>
      <c r="G965" s="51"/>
      <c r="H965" s="48"/>
      <c r="I965" s="70"/>
      <c r="J965" s="70"/>
      <c r="K965" s="71"/>
      <c r="L965" s="71"/>
    </row>
    <row r="966" spans="6:12" x14ac:dyDescent="0.3">
      <c r="F966" s="50"/>
      <c r="G966" s="51"/>
      <c r="H966" s="48"/>
      <c r="I966" s="70"/>
      <c r="J966" s="70"/>
      <c r="K966" s="71"/>
      <c r="L966" s="71"/>
    </row>
    <row r="967" spans="6:12" x14ac:dyDescent="0.3">
      <c r="F967" s="50"/>
      <c r="G967" s="51"/>
      <c r="H967" s="48"/>
      <c r="I967" s="70"/>
      <c r="J967" s="70"/>
      <c r="K967" s="71"/>
      <c r="L967" s="71"/>
    </row>
    <row r="968" spans="6:12" x14ac:dyDescent="0.3">
      <c r="F968" s="50"/>
      <c r="G968" s="51"/>
      <c r="H968" s="48"/>
      <c r="I968" s="70"/>
      <c r="J968" s="70"/>
      <c r="K968" s="71"/>
      <c r="L968" s="71"/>
    </row>
    <row r="969" spans="6:12" x14ac:dyDescent="0.3">
      <c r="F969" s="50"/>
      <c r="G969" s="51"/>
      <c r="H969" s="48"/>
      <c r="I969" s="70"/>
      <c r="J969" s="70"/>
      <c r="K969" s="71"/>
      <c r="L969" s="71"/>
    </row>
    <row r="970" spans="6:12" x14ac:dyDescent="0.3">
      <c r="F970" s="50"/>
      <c r="G970" s="51"/>
      <c r="H970" s="48"/>
      <c r="I970" s="70"/>
      <c r="J970" s="70"/>
      <c r="K970" s="71"/>
      <c r="L970" s="71"/>
    </row>
    <row r="971" spans="6:12" x14ac:dyDescent="0.3">
      <c r="F971" s="50"/>
      <c r="G971" s="51"/>
      <c r="H971" s="48"/>
      <c r="I971" s="70"/>
      <c r="J971" s="70"/>
      <c r="K971" s="71"/>
      <c r="L971" s="71"/>
    </row>
    <row r="972" spans="6:12" x14ac:dyDescent="0.3">
      <c r="F972" s="50"/>
      <c r="G972" s="51"/>
      <c r="H972" s="48"/>
      <c r="I972" s="70"/>
      <c r="J972" s="70"/>
      <c r="K972" s="71"/>
      <c r="L972" s="71"/>
    </row>
    <row r="973" spans="6:12" x14ac:dyDescent="0.3">
      <c r="F973" s="50"/>
      <c r="G973" s="51"/>
      <c r="H973" s="48"/>
      <c r="I973" s="70"/>
      <c r="J973" s="70"/>
      <c r="K973" s="71"/>
      <c r="L973" s="71"/>
    </row>
    <row r="974" spans="6:12" x14ac:dyDescent="0.3">
      <c r="F974" s="50"/>
      <c r="G974" s="51"/>
      <c r="H974" s="48"/>
      <c r="I974" s="70"/>
      <c r="J974" s="70"/>
      <c r="K974" s="71"/>
      <c r="L974" s="71"/>
    </row>
    <row r="975" spans="6:12" x14ac:dyDescent="0.3">
      <c r="F975" s="50"/>
      <c r="G975" s="51"/>
      <c r="H975" s="48"/>
      <c r="I975" s="70"/>
      <c r="J975" s="70"/>
      <c r="K975" s="71"/>
      <c r="L975" s="71"/>
    </row>
    <row r="976" spans="6:12" x14ac:dyDescent="0.3">
      <c r="F976" s="50"/>
      <c r="G976" s="51"/>
      <c r="H976" s="48"/>
      <c r="I976" s="70"/>
      <c r="J976" s="70"/>
      <c r="K976" s="71"/>
      <c r="L976" s="71"/>
    </row>
    <row r="977" spans="6:12" x14ac:dyDescent="0.3">
      <c r="F977" s="50"/>
      <c r="G977" s="51"/>
      <c r="H977" s="48"/>
      <c r="I977" s="70"/>
      <c r="J977" s="70"/>
      <c r="K977" s="71"/>
      <c r="L977" s="71"/>
    </row>
    <row r="978" spans="6:12" x14ac:dyDescent="0.3">
      <c r="F978" s="50"/>
      <c r="G978" s="51"/>
      <c r="H978" s="48"/>
      <c r="I978" s="70"/>
      <c r="J978" s="70"/>
      <c r="K978" s="71"/>
      <c r="L978" s="71"/>
    </row>
    <row r="979" spans="6:12" x14ac:dyDescent="0.3">
      <c r="F979" s="50"/>
      <c r="G979" s="51"/>
      <c r="H979" s="48"/>
      <c r="I979" s="70"/>
      <c r="J979" s="70"/>
      <c r="K979" s="71"/>
      <c r="L979" s="71"/>
    </row>
    <row r="980" spans="6:12" x14ac:dyDescent="0.3">
      <c r="F980" s="50"/>
      <c r="G980" s="51"/>
      <c r="H980" s="48"/>
      <c r="I980" s="70"/>
      <c r="J980" s="70"/>
      <c r="K980" s="71"/>
      <c r="L980" s="71"/>
    </row>
    <row r="981" spans="6:12" x14ac:dyDescent="0.3">
      <c r="F981" s="50"/>
      <c r="G981" s="51"/>
      <c r="H981" s="48"/>
      <c r="I981" s="70"/>
      <c r="J981" s="70"/>
      <c r="K981" s="71"/>
      <c r="L981" s="71"/>
    </row>
    <row r="982" spans="6:12" x14ac:dyDescent="0.3">
      <c r="F982" s="50"/>
      <c r="G982" s="51"/>
      <c r="H982" s="48"/>
      <c r="I982" s="70"/>
      <c r="J982" s="70"/>
      <c r="K982" s="71"/>
      <c r="L982" s="71"/>
    </row>
    <row r="983" spans="6:12" x14ac:dyDescent="0.3">
      <c r="F983" s="50"/>
      <c r="G983" s="51"/>
      <c r="H983" s="48"/>
      <c r="I983" s="70"/>
      <c r="J983" s="70"/>
      <c r="K983" s="71"/>
      <c r="L983" s="71"/>
    </row>
    <row r="984" spans="6:12" x14ac:dyDescent="0.3">
      <c r="F984" s="50"/>
      <c r="G984" s="51"/>
      <c r="H984" s="48"/>
      <c r="I984" s="70"/>
      <c r="J984" s="70"/>
      <c r="K984" s="71"/>
      <c r="L984" s="71"/>
    </row>
    <row r="985" spans="6:12" x14ac:dyDescent="0.3">
      <c r="F985" s="50"/>
      <c r="G985" s="51"/>
      <c r="H985" s="48"/>
      <c r="I985" s="70"/>
      <c r="J985" s="70"/>
      <c r="K985" s="71"/>
      <c r="L985" s="71"/>
    </row>
    <row r="986" spans="6:12" x14ac:dyDescent="0.3">
      <c r="F986" s="50"/>
      <c r="G986" s="51"/>
      <c r="H986" s="48"/>
      <c r="I986" s="70"/>
      <c r="J986" s="70"/>
      <c r="K986" s="71"/>
      <c r="L986" s="71"/>
    </row>
    <row r="987" spans="6:12" x14ac:dyDescent="0.3">
      <c r="F987" s="50"/>
      <c r="G987" s="51"/>
      <c r="H987" s="48"/>
      <c r="I987" s="70"/>
      <c r="J987" s="70"/>
      <c r="K987" s="71"/>
      <c r="L987" s="71"/>
    </row>
    <row r="988" spans="6:12" x14ac:dyDescent="0.3">
      <c r="F988" s="50"/>
      <c r="G988" s="51"/>
      <c r="H988" s="48"/>
      <c r="I988" s="70"/>
      <c r="J988" s="70"/>
      <c r="K988" s="71"/>
      <c r="L988" s="71"/>
    </row>
    <row r="989" spans="6:12" x14ac:dyDescent="0.3">
      <c r="F989" s="50"/>
      <c r="G989" s="51"/>
      <c r="H989" s="48"/>
      <c r="I989" s="70"/>
      <c r="J989" s="70"/>
      <c r="K989" s="71"/>
      <c r="L989" s="71"/>
    </row>
    <row r="990" spans="6:12" x14ac:dyDescent="0.3">
      <c r="F990" s="50"/>
      <c r="G990" s="51"/>
      <c r="H990" s="48"/>
      <c r="I990" s="70"/>
      <c r="J990" s="70"/>
      <c r="K990" s="71"/>
      <c r="L990" s="71"/>
    </row>
    <row r="991" spans="6:12" x14ac:dyDescent="0.3">
      <c r="F991" s="50"/>
      <c r="G991" s="51"/>
      <c r="H991" s="48"/>
      <c r="I991" s="70"/>
      <c r="J991" s="70"/>
      <c r="K991" s="71"/>
      <c r="L991" s="71"/>
    </row>
    <row r="992" spans="6:12" x14ac:dyDescent="0.3">
      <c r="F992" s="50"/>
      <c r="G992" s="51"/>
      <c r="H992" s="48"/>
      <c r="I992" s="70"/>
      <c r="J992" s="70"/>
      <c r="K992" s="71"/>
      <c r="L992" s="71"/>
    </row>
    <row r="993" spans="6:12" x14ac:dyDescent="0.3">
      <c r="F993" s="50"/>
      <c r="G993" s="51"/>
      <c r="H993" s="48"/>
      <c r="I993" s="70"/>
      <c r="J993" s="70"/>
      <c r="K993" s="71"/>
      <c r="L993" s="71"/>
    </row>
    <row r="994" spans="6:12" x14ac:dyDescent="0.3">
      <c r="F994" s="50"/>
      <c r="G994" s="51"/>
      <c r="H994" s="48"/>
      <c r="I994" s="70"/>
      <c r="J994" s="70"/>
      <c r="K994" s="71"/>
      <c r="L994" s="71"/>
    </row>
    <row r="995" spans="6:12" x14ac:dyDescent="0.3">
      <c r="F995" s="50"/>
      <c r="G995" s="51"/>
      <c r="H995" s="48"/>
      <c r="I995" s="70"/>
      <c r="J995" s="70"/>
      <c r="K995" s="71"/>
      <c r="L995" s="71"/>
    </row>
    <row r="996" spans="6:12" x14ac:dyDescent="0.3">
      <c r="F996" s="50"/>
      <c r="G996" s="51"/>
      <c r="H996" s="48"/>
      <c r="I996" s="70"/>
      <c r="J996" s="70"/>
      <c r="K996" s="71"/>
      <c r="L996" s="71"/>
    </row>
    <row r="997" spans="6:12" x14ac:dyDescent="0.3">
      <c r="F997" s="50"/>
      <c r="G997" s="51"/>
      <c r="H997" s="48"/>
      <c r="I997" s="70"/>
      <c r="J997" s="70"/>
      <c r="K997" s="71"/>
      <c r="L997" s="71"/>
    </row>
    <row r="998" spans="6:12" x14ac:dyDescent="0.3">
      <c r="F998" s="50"/>
      <c r="G998" s="51"/>
      <c r="H998" s="48"/>
      <c r="I998" s="70"/>
      <c r="J998" s="70"/>
      <c r="K998" s="71"/>
      <c r="L998" s="71"/>
    </row>
    <row r="999" spans="6:12" x14ac:dyDescent="0.3">
      <c r="F999" s="50"/>
      <c r="G999" s="51"/>
      <c r="H999" s="48"/>
      <c r="I999" s="70"/>
      <c r="J999" s="70"/>
      <c r="K999" s="71"/>
      <c r="L999" s="71"/>
    </row>
    <row r="1000" spans="6:12" x14ac:dyDescent="0.3">
      <c r="F1000" s="50"/>
      <c r="G1000" s="51"/>
      <c r="H1000" s="48"/>
      <c r="I1000" s="70"/>
      <c r="J1000" s="70"/>
      <c r="K1000" s="71"/>
      <c r="L1000" s="71"/>
    </row>
    <row r="1001" spans="6:12" x14ac:dyDescent="0.3">
      <c r="F1001" s="50"/>
      <c r="G1001" s="51"/>
      <c r="H1001" s="48"/>
      <c r="I1001" s="70"/>
      <c r="J1001" s="70"/>
      <c r="K1001" s="71"/>
      <c r="L1001" s="71"/>
    </row>
    <row r="1002" spans="6:12" x14ac:dyDescent="0.3">
      <c r="F1002" s="50"/>
      <c r="G1002" s="51"/>
      <c r="H1002" s="48"/>
      <c r="I1002" s="70"/>
      <c r="J1002" s="70"/>
      <c r="K1002" s="71"/>
      <c r="L1002" s="71"/>
    </row>
    <row r="1003" spans="6:12" x14ac:dyDescent="0.3">
      <c r="F1003" s="50"/>
      <c r="G1003" s="51"/>
      <c r="H1003" s="48"/>
      <c r="I1003" s="70"/>
      <c r="J1003" s="70"/>
      <c r="K1003" s="71"/>
      <c r="L1003" s="71"/>
    </row>
    <row r="1004" spans="6:12" x14ac:dyDescent="0.3">
      <c r="F1004" s="50"/>
      <c r="G1004" s="51"/>
      <c r="H1004" s="48"/>
      <c r="I1004" s="70"/>
      <c r="J1004" s="70"/>
      <c r="K1004" s="71"/>
      <c r="L1004" s="71"/>
    </row>
    <row r="1005" spans="6:12" x14ac:dyDescent="0.3">
      <c r="F1005" s="50"/>
      <c r="G1005" s="51"/>
      <c r="H1005" s="48"/>
      <c r="I1005" s="70"/>
      <c r="J1005" s="70"/>
      <c r="K1005" s="71"/>
      <c r="L1005" s="71"/>
    </row>
    <row r="1006" spans="6:12" x14ac:dyDescent="0.3">
      <c r="F1006" s="50"/>
      <c r="G1006" s="51"/>
      <c r="H1006" s="48"/>
      <c r="I1006" s="70"/>
      <c r="J1006" s="70"/>
      <c r="K1006" s="71"/>
      <c r="L1006" s="71"/>
    </row>
    <row r="1007" spans="6:12" x14ac:dyDescent="0.3">
      <c r="F1007" s="50"/>
      <c r="G1007" s="51"/>
      <c r="H1007" s="48"/>
      <c r="I1007" s="70"/>
      <c r="J1007" s="70"/>
      <c r="K1007" s="71"/>
      <c r="L1007" s="71"/>
    </row>
    <row r="1008" spans="6:12" x14ac:dyDescent="0.3">
      <c r="F1008" s="50"/>
      <c r="G1008" s="51"/>
      <c r="H1008" s="48"/>
      <c r="I1008" s="70"/>
      <c r="J1008" s="70"/>
      <c r="K1008" s="71"/>
      <c r="L1008" s="71"/>
    </row>
    <row r="1009" spans="6:12" x14ac:dyDescent="0.3">
      <c r="F1009" s="50"/>
      <c r="G1009" s="51"/>
      <c r="H1009" s="48"/>
      <c r="I1009" s="70"/>
      <c r="J1009" s="70"/>
      <c r="K1009" s="71"/>
      <c r="L1009" s="71"/>
    </row>
    <row r="1010" spans="6:12" x14ac:dyDescent="0.3">
      <c r="F1010" s="50"/>
      <c r="G1010" s="51"/>
      <c r="H1010" s="48"/>
      <c r="I1010" s="70"/>
      <c r="J1010" s="70"/>
      <c r="K1010" s="71"/>
      <c r="L1010" s="71"/>
    </row>
    <row r="1011" spans="6:12" x14ac:dyDescent="0.3">
      <c r="F1011" s="50"/>
      <c r="G1011" s="51"/>
      <c r="H1011" s="48"/>
      <c r="I1011" s="70"/>
      <c r="J1011" s="70"/>
      <c r="K1011" s="71"/>
      <c r="L1011" s="71"/>
    </row>
    <row r="1012" spans="6:12" x14ac:dyDescent="0.3">
      <c r="F1012" s="50"/>
      <c r="G1012" s="51"/>
      <c r="H1012" s="48"/>
      <c r="I1012" s="70"/>
      <c r="J1012" s="70"/>
      <c r="K1012" s="71"/>
      <c r="L1012" s="71"/>
    </row>
    <row r="1013" spans="6:12" x14ac:dyDescent="0.3">
      <c r="F1013" s="50"/>
      <c r="G1013" s="51"/>
      <c r="H1013" s="48"/>
      <c r="I1013" s="70"/>
      <c r="J1013" s="70"/>
      <c r="K1013" s="71"/>
      <c r="L1013" s="71"/>
    </row>
    <row r="1014" spans="6:12" x14ac:dyDescent="0.3">
      <c r="F1014" s="50"/>
      <c r="G1014" s="51"/>
      <c r="H1014" s="48"/>
      <c r="I1014" s="70"/>
      <c r="J1014" s="70"/>
      <c r="K1014" s="71"/>
      <c r="L1014" s="71"/>
    </row>
    <row r="1015" spans="6:12" x14ac:dyDescent="0.3">
      <c r="F1015" s="50"/>
      <c r="G1015" s="51"/>
      <c r="H1015" s="48"/>
      <c r="I1015" s="70"/>
      <c r="J1015" s="70"/>
      <c r="K1015" s="71"/>
      <c r="L1015" s="71"/>
    </row>
    <row r="1016" spans="6:12" x14ac:dyDescent="0.3">
      <c r="F1016" s="50"/>
      <c r="G1016" s="51"/>
      <c r="H1016" s="48"/>
      <c r="I1016" s="70"/>
      <c r="J1016" s="70"/>
      <c r="K1016" s="71"/>
      <c r="L1016" s="71"/>
    </row>
    <row r="1017" spans="6:12" x14ac:dyDescent="0.3">
      <c r="F1017" s="50"/>
      <c r="G1017" s="51"/>
      <c r="H1017" s="48"/>
      <c r="I1017" s="70"/>
      <c r="J1017" s="70"/>
      <c r="K1017" s="71"/>
      <c r="L1017" s="71"/>
    </row>
    <row r="1018" spans="6:12" x14ac:dyDescent="0.3">
      <c r="F1018" s="50"/>
      <c r="G1018" s="51"/>
      <c r="H1018" s="48"/>
      <c r="I1018" s="70"/>
      <c r="J1018" s="70"/>
      <c r="K1018" s="71"/>
      <c r="L1018" s="71"/>
    </row>
    <row r="1019" spans="6:12" x14ac:dyDescent="0.3">
      <c r="F1019" s="50"/>
      <c r="G1019" s="51"/>
      <c r="H1019" s="48"/>
      <c r="I1019" s="70"/>
      <c r="J1019" s="70"/>
      <c r="K1019" s="71"/>
      <c r="L1019" s="71"/>
    </row>
    <row r="1020" spans="6:12" x14ac:dyDescent="0.3">
      <c r="F1020" s="50"/>
      <c r="G1020" s="51"/>
      <c r="H1020" s="48"/>
      <c r="I1020" s="70"/>
      <c r="J1020" s="70"/>
      <c r="K1020" s="71"/>
      <c r="L1020" s="71"/>
    </row>
    <row r="1021" spans="6:12" x14ac:dyDescent="0.3">
      <c r="F1021" s="50"/>
      <c r="G1021" s="51"/>
      <c r="H1021" s="48"/>
      <c r="I1021" s="70"/>
      <c r="J1021" s="70"/>
      <c r="K1021" s="71"/>
      <c r="L1021" s="71"/>
    </row>
    <row r="1022" spans="6:12" x14ac:dyDescent="0.3">
      <c r="F1022" s="50"/>
      <c r="G1022" s="51"/>
      <c r="H1022" s="48"/>
      <c r="I1022" s="70"/>
      <c r="J1022" s="70"/>
      <c r="K1022" s="71"/>
      <c r="L1022" s="71"/>
    </row>
    <row r="1023" spans="6:12" x14ac:dyDescent="0.3">
      <c r="F1023" s="50"/>
      <c r="G1023" s="51"/>
      <c r="H1023" s="48"/>
      <c r="I1023" s="70"/>
      <c r="J1023" s="70"/>
      <c r="K1023" s="71"/>
      <c r="L1023" s="71"/>
    </row>
    <row r="1024" spans="6:12" x14ac:dyDescent="0.3">
      <c r="F1024" s="50"/>
      <c r="G1024" s="51"/>
      <c r="H1024" s="48"/>
      <c r="I1024" s="70"/>
      <c r="J1024" s="70"/>
      <c r="K1024" s="71"/>
      <c r="L1024" s="71"/>
    </row>
    <row r="1025" spans="6:12" x14ac:dyDescent="0.3">
      <c r="F1025" s="50"/>
      <c r="G1025" s="51"/>
      <c r="H1025" s="48"/>
      <c r="I1025" s="70"/>
      <c r="J1025" s="70"/>
      <c r="K1025" s="71"/>
      <c r="L1025" s="71"/>
    </row>
    <row r="1026" spans="6:12" x14ac:dyDescent="0.3">
      <c r="F1026" s="50"/>
      <c r="G1026" s="51"/>
      <c r="H1026" s="48"/>
      <c r="I1026" s="70"/>
      <c r="J1026" s="70"/>
      <c r="K1026" s="71"/>
      <c r="L1026" s="71"/>
    </row>
    <row r="1027" spans="6:12" x14ac:dyDescent="0.3">
      <c r="F1027" s="50"/>
      <c r="G1027" s="51"/>
      <c r="H1027" s="48"/>
      <c r="I1027" s="70"/>
      <c r="J1027" s="70"/>
      <c r="K1027" s="71"/>
      <c r="L1027" s="71"/>
    </row>
    <row r="1028" spans="6:12" x14ac:dyDescent="0.3">
      <c r="F1028" s="50"/>
      <c r="G1028" s="51"/>
      <c r="H1028" s="48"/>
      <c r="I1028" s="70"/>
      <c r="J1028" s="70"/>
      <c r="K1028" s="71"/>
      <c r="L1028" s="71"/>
    </row>
    <row r="1029" spans="6:12" x14ac:dyDescent="0.3">
      <c r="F1029" s="50"/>
      <c r="G1029" s="51"/>
      <c r="H1029" s="48"/>
      <c r="I1029" s="70"/>
      <c r="J1029" s="70"/>
      <c r="K1029" s="71"/>
      <c r="L1029" s="71"/>
    </row>
    <row r="1030" spans="6:12" x14ac:dyDescent="0.3">
      <c r="F1030" s="50"/>
      <c r="G1030" s="51"/>
      <c r="H1030" s="48"/>
      <c r="I1030" s="70"/>
      <c r="J1030" s="70"/>
      <c r="K1030" s="71"/>
      <c r="L1030" s="71"/>
    </row>
    <row r="1031" spans="6:12" x14ac:dyDescent="0.3">
      <c r="F1031" s="50"/>
      <c r="G1031" s="51"/>
      <c r="H1031" s="48"/>
      <c r="I1031" s="70"/>
      <c r="J1031" s="70"/>
      <c r="K1031" s="71"/>
      <c r="L1031" s="71"/>
    </row>
    <row r="1032" spans="6:12" x14ac:dyDescent="0.3">
      <c r="F1032" s="50"/>
      <c r="G1032" s="51"/>
      <c r="H1032" s="48"/>
      <c r="I1032" s="70"/>
      <c r="J1032" s="70"/>
      <c r="K1032" s="71"/>
      <c r="L1032" s="71"/>
    </row>
    <row r="1033" spans="6:12" x14ac:dyDescent="0.3">
      <c r="F1033" s="50"/>
      <c r="G1033" s="51"/>
      <c r="H1033" s="48"/>
      <c r="I1033" s="70"/>
      <c r="J1033" s="70"/>
      <c r="K1033" s="71"/>
      <c r="L1033" s="71"/>
    </row>
    <row r="1034" spans="6:12" x14ac:dyDescent="0.3">
      <c r="F1034" s="50"/>
      <c r="G1034" s="51"/>
      <c r="H1034" s="48"/>
      <c r="I1034" s="70"/>
      <c r="J1034" s="70"/>
      <c r="K1034" s="71"/>
      <c r="L1034" s="71"/>
    </row>
    <row r="1035" spans="6:12" x14ac:dyDescent="0.3">
      <c r="F1035" s="50"/>
      <c r="G1035" s="51"/>
      <c r="H1035" s="48"/>
      <c r="I1035" s="70"/>
      <c r="J1035" s="70"/>
      <c r="K1035" s="71"/>
      <c r="L1035" s="71"/>
    </row>
    <row r="1036" spans="6:12" x14ac:dyDescent="0.3">
      <c r="F1036" s="50"/>
      <c r="G1036" s="51"/>
      <c r="H1036" s="48"/>
      <c r="I1036" s="70"/>
      <c r="J1036" s="70"/>
      <c r="K1036" s="71"/>
      <c r="L1036" s="71"/>
    </row>
    <row r="1037" spans="6:12" x14ac:dyDescent="0.3">
      <c r="F1037" s="50"/>
      <c r="G1037" s="51"/>
      <c r="H1037" s="48"/>
      <c r="I1037" s="70"/>
      <c r="J1037" s="70"/>
      <c r="K1037" s="71"/>
      <c r="L1037" s="71"/>
    </row>
    <row r="1038" spans="6:12" x14ac:dyDescent="0.3">
      <c r="F1038" s="50"/>
      <c r="G1038" s="51"/>
      <c r="H1038" s="48"/>
      <c r="I1038" s="70"/>
      <c r="J1038" s="70"/>
      <c r="K1038" s="71"/>
      <c r="L1038" s="71"/>
    </row>
    <row r="1039" spans="6:12" x14ac:dyDescent="0.3">
      <c r="F1039" s="50"/>
      <c r="G1039" s="51"/>
      <c r="H1039" s="48"/>
      <c r="I1039" s="70"/>
      <c r="J1039" s="70"/>
      <c r="K1039" s="71"/>
      <c r="L1039" s="71"/>
    </row>
    <row r="1040" spans="6:12" x14ac:dyDescent="0.3">
      <c r="F1040" s="50"/>
      <c r="G1040" s="51"/>
      <c r="H1040" s="48"/>
      <c r="I1040" s="70"/>
      <c r="J1040" s="70"/>
      <c r="K1040" s="71"/>
      <c r="L1040" s="71"/>
    </row>
    <row r="1041" spans="6:12" x14ac:dyDescent="0.3">
      <c r="F1041" s="50"/>
      <c r="G1041" s="51"/>
      <c r="H1041" s="48"/>
      <c r="I1041" s="70"/>
      <c r="J1041" s="70"/>
      <c r="K1041" s="71"/>
      <c r="L1041" s="71"/>
    </row>
    <row r="1042" spans="6:12" x14ac:dyDescent="0.3">
      <c r="F1042" s="50"/>
      <c r="G1042" s="51"/>
      <c r="H1042" s="48"/>
      <c r="I1042" s="70"/>
      <c r="J1042" s="70"/>
      <c r="K1042" s="71"/>
      <c r="L1042" s="71"/>
    </row>
    <row r="1043" spans="6:12" x14ac:dyDescent="0.3">
      <c r="F1043" s="50"/>
      <c r="G1043" s="51"/>
      <c r="H1043" s="48"/>
      <c r="I1043" s="70"/>
      <c r="J1043" s="70"/>
      <c r="K1043" s="71"/>
      <c r="L1043" s="71"/>
    </row>
    <row r="1044" spans="6:12" x14ac:dyDescent="0.3">
      <c r="F1044" s="50"/>
      <c r="G1044" s="51"/>
      <c r="H1044" s="48"/>
      <c r="I1044" s="70"/>
      <c r="J1044" s="70"/>
      <c r="K1044" s="71"/>
      <c r="L1044" s="71"/>
    </row>
    <row r="1045" spans="6:12" x14ac:dyDescent="0.3">
      <c r="F1045" s="50"/>
      <c r="G1045" s="51"/>
      <c r="H1045" s="48"/>
      <c r="I1045" s="70"/>
      <c r="J1045" s="70"/>
      <c r="K1045" s="71"/>
      <c r="L1045" s="71"/>
    </row>
    <row r="1046" spans="6:12" x14ac:dyDescent="0.3">
      <c r="F1046" s="50"/>
      <c r="G1046" s="51"/>
      <c r="H1046" s="48"/>
      <c r="I1046" s="70"/>
      <c r="J1046" s="70"/>
      <c r="K1046" s="71"/>
      <c r="L1046" s="71"/>
    </row>
    <row r="1047" spans="6:12" x14ac:dyDescent="0.3">
      <c r="F1047" s="50"/>
      <c r="G1047" s="51"/>
      <c r="H1047" s="48"/>
      <c r="I1047" s="70"/>
      <c r="J1047" s="70"/>
      <c r="K1047" s="71"/>
      <c r="L1047" s="71"/>
    </row>
    <row r="1048" spans="6:12" x14ac:dyDescent="0.3">
      <c r="F1048" s="50"/>
      <c r="G1048" s="51"/>
      <c r="H1048" s="48"/>
      <c r="I1048" s="70"/>
      <c r="J1048" s="70"/>
      <c r="K1048" s="71"/>
      <c r="L1048" s="71"/>
    </row>
    <row r="1049" spans="6:12" x14ac:dyDescent="0.3">
      <c r="F1049" s="50"/>
      <c r="G1049" s="51"/>
      <c r="H1049" s="48"/>
      <c r="I1049" s="70"/>
      <c r="J1049" s="70"/>
      <c r="K1049" s="71"/>
      <c r="L1049" s="71"/>
    </row>
    <row r="1050" spans="6:12" x14ac:dyDescent="0.3">
      <c r="F1050" s="50"/>
      <c r="G1050" s="51"/>
      <c r="H1050" s="48"/>
      <c r="I1050" s="70"/>
      <c r="J1050" s="70"/>
      <c r="K1050" s="71"/>
      <c r="L1050" s="71"/>
    </row>
    <row r="1051" spans="6:12" x14ac:dyDescent="0.3">
      <c r="F1051" s="50"/>
      <c r="G1051" s="51"/>
      <c r="H1051" s="48"/>
      <c r="I1051" s="70"/>
      <c r="J1051" s="70"/>
      <c r="K1051" s="71"/>
      <c r="L1051" s="71"/>
    </row>
    <row r="1052" spans="6:12" x14ac:dyDescent="0.3">
      <c r="F1052" s="50"/>
      <c r="G1052" s="51"/>
      <c r="H1052" s="48"/>
      <c r="I1052" s="70"/>
      <c r="J1052" s="70"/>
      <c r="K1052" s="71"/>
      <c r="L1052" s="71"/>
    </row>
    <row r="1053" spans="6:12" x14ac:dyDescent="0.3">
      <c r="F1053" s="50"/>
      <c r="G1053" s="51"/>
      <c r="H1053" s="48"/>
      <c r="I1053" s="70"/>
      <c r="J1053" s="70"/>
      <c r="K1053" s="71"/>
      <c r="L1053" s="71"/>
    </row>
    <row r="1054" spans="6:12" x14ac:dyDescent="0.3">
      <c r="F1054" s="50"/>
      <c r="G1054" s="51"/>
      <c r="H1054" s="48"/>
      <c r="I1054" s="70"/>
      <c r="J1054" s="70"/>
      <c r="K1054" s="71"/>
      <c r="L1054" s="71"/>
    </row>
    <row r="1055" spans="6:12" x14ac:dyDescent="0.3">
      <c r="F1055" s="50"/>
      <c r="G1055" s="51"/>
      <c r="H1055" s="48"/>
      <c r="I1055" s="70"/>
      <c r="J1055" s="70"/>
      <c r="K1055" s="71"/>
      <c r="L1055" s="71"/>
    </row>
    <row r="1056" spans="6:12" x14ac:dyDescent="0.3">
      <c r="F1056" s="50"/>
      <c r="G1056" s="51"/>
      <c r="H1056" s="48"/>
      <c r="I1056" s="70"/>
      <c r="J1056" s="70"/>
      <c r="K1056" s="71"/>
      <c r="L1056" s="71"/>
    </row>
    <row r="1057" spans="6:12" x14ac:dyDescent="0.3">
      <c r="F1057" s="50"/>
      <c r="G1057" s="51"/>
      <c r="H1057" s="48"/>
      <c r="I1057" s="70"/>
      <c r="J1057" s="70"/>
      <c r="K1057" s="71"/>
      <c r="L1057" s="71"/>
    </row>
    <row r="1058" spans="6:12" x14ac:dyDescent="0.3">
      <c r="F1058" s="50"/>
      <c r="G1058" s="51"/>
      <c r="H1058" s="48"/>
      <c r="I1058" s="70"/>
      <c r="J1058" s="70"/>
      <c r="K1058" s="71"/>
      <c r="L1058" s="71"/>
    </row>
    <row r="1059" spans="6:12" x14ac:dyDescent="0.3">
      <c r="F1059" s="50"/>
      <c r="G1059" s="51"/>
      <c r="H1059" s="48"/>
      <c r="I1059" s="70"/>
      <c r="J1059" s="70"/>
      <c r="K1059" s="71"/>
      <c r="L1059" s="71"/>
    </row>
    <row r="1060" spans="6:12" x14ac:dyDescent="0.3">
      <c r="F1060" s="50"/>
      <c r="G1060" s="51"/>
      <c r="H1060" s="48"/>
      <c r="I1060" s="70"/>
      <c r="J1060" s="70"/>
      <c r="K1060" s="71"/>
      <c r="L1060" s="71"/>
    </row>
    <row r="1061" spans="6:12" x14ac:dyDescent="0.3">
      <c r="F1061" s="50"/>
      <c r="G1061" s="51"/>
      <c r="H1061" s="48"/>
      <c r="I1061" s="70"/>
      <c r="J1061" s="70"/>
      <c r="K1061" s="71"/>
      <c r="L1061" s="71"/>
    </row>
    <row r="1062" spans="6:12" x14ac:dyDescent="0.3">
      <c r="F1062" s="50"/>
      <c r="G1062" s="51"/>
      <c r="H1062" s="48"/>
      <c r="I1062" s="70"/>
      <c r="J1062" s="70"/>
      <c r="K1062" s="71"/>
      <c r="L1062" s="71"/>
    </row>
    <row r="1063" spans="6:12" x14ac:dyDescent="0.3">
      <c r="F1063" s="50"/>
      <c r="G1063" s="51"/>
      <c r="H1063" s="48"/>
      <c r="I1063" s="70"/>
      <c r="J1063" s="70"/>
      <c r="K1063" s="71"/>
      <c r="L1063" s="71"/>
    </row>
    <row r="1064" spans="6:12" x14ac:dyDescent="0.3">
      <c r="F1064" s="50"/>
      <c r="G1064" s="51"/>
      <c r="H1064" s="48"/>
      <c r="I1064" s="70"/>
      <c r="J1064" s="70"/>
      <c r="K1064" s="71"/>
      <c r="L1064" s="71"/>
    </row>
    <row r="1065" spans="6:12" x14ac:dyDescent="0.3">
      <c r="F1065" s="50"/>
      <c r="G1065" s="51"/>
      <c r="H1065" s="48"/>
      <c r="I1065" s="70"/>
      <c r="J1065" s="70"/>
      <c r="K1065" s="71"/>
      <c r="L1065" s="71"/>
    </row>
    <row r="1066" spans="6:12" x14ac:dyDescent="0.3">
      <c r="F1066" s="50"/>
      <c r="G1066" s="51"/>
      <c r="H1066" s="48"/>
      <c r="I1066" s="70"/>
      <c r="J1066" s="70"/>
      <c r="K1066" s="71"/>
      <c r="L1066" s="71"/>
    </row>
    <row r="1067" spans="6:12" x14ac:dyDescent="0.3">
      <c r="F1067" s="50"/>
      <c r="G1067" s="51"/>
      <c r="H1067" s="48"/>
      <c r="I1067" s="70"/>
      <c r="J1067" s="70"/>
      <c r="K1067" s="71"/>
      <c r="L1067" s="71"/>
    </row>
    <row r="1068" spans="6:12" x14ac:dyDescent="0.3">
      <c r="F1068" s="50"/>
      <c r="G1068" s="51"/>
      <c r="H1068" s="48"/>
      <c r="I1068" s="70"/>
      <c r="J1068" s="70"/>
      <c r="K1068" s="71"/>
      <c r="L1068" s="71"/>
    </row>
    <row r="1069" spans="6:12" x14ac:dyDescent="0.3">
      <c r="F1069" s="50"/>
      <c r="G1069" s="51"/>
      <c r="H1069" s="48"/>
      <c r="I1069" s="70"/>
      <c r="J1069" s="70"/>
      <c r="K1069" s="71"/>
      <c r="L1069" s="71"/>
    </row>
    <row r="1070" spans="6:12" x14ac:dyDescent="0.3">
      <c r="F1070" s="50"/>
      <c r="G1070" s="51"/>
      <c r="H1070" s="48"/>
      <c r="I1070" s="70"/>
      <c r="J1070" s="70"/>
      <c r="K1070" s="71"/>
      <c r="L1070" s="71"/>
    </row>
    <row r="1071" spans="6:12" x14ac:dyDescent="0.3">
      <c r="F1071" s="50"/>
      <c r="G1071" s="51"/>
      <c r="H1071" s="48"/>
      <c r="I1071" s="70"/>
      <c r="J1071" s="70"/>
      <c r="K1071" s="71"/>
      <c r="L1071" s="71"/>
    </row>
    <row r="1072" spans="6:12" x14ac:dyDescent="0.3">
      <c r="F1072" s="50"/>
      <c r="G1072" s="51"/>
      <c r="H1072" s="48"/>
      <c r="I1072" s="70"/>
      <c r="J1072" s="70"/>
      <c r="K1072" s="71"/>
      <c r="L1072" s="71"/>
    </row>
    <row r="1073" spans="6:12" x14ac:dyDescent="0.3">
      <c r="F1073" s="50"/>
      <c r="G1073" s="51"/>
      <c r="H1073" s="48"/>
      <c r="I1073" s="70"/>
      <c r="J1073" s="70"/>
      <c r="K1073" s="71"/>
      <c r="L1073" s="71"/>
    </row>
    <row r="1074" spans="6:12" x14ac:dyDescent="0.3">
      <c r="F1074" s="50"/>
      <c r="G1074" s="51"/>
      <c r="H1074" s="48"/>
      <c r="I1074" s="70"/>
      <c r="J1074" s="70"/>
      <c r="K1074" s="71"/>
      <c r="L1074" s="71"/>
    </row>
    <row r="1075" spans="6:12" x14ac:dyDescent="0.3">
      <c r="F1075" s="50"/>
      <c r="G1075" s="51"/>
      <c r="H1075" s="48"/>
      <c r="I1075" s="70"/>
      <c r="J1075" s="70"/>
      <c r="K1075" s="71"/>
      <c r="L1075" s="71"/>
    </row>
    <row r="1076" spans="6:12" x14ac:dyDescent="0.3">
      <c r="F1076" s="50"/>
      <c r="G1076" s="51"/>
      <c r="H1076" s="48"/>
      <c r="I1076" s="70"/>
      <c r="J1076" s="70"/>
      <c r="K1076" s="71"/>
      <c r="L1076" s="71"/>
    </row>
    <row r="1077" spans="6:12" x14ac:dyDescent="0.3">
      <c r="F1077" s="50"/>
      <c r="G1077" s="51"/>
      <c r="H1077" s="48"/>
      <c r="I1077" s="70"/>
      <c r="J1077" s="70"/>
      <c r="K1077" s="71"/>
      <c r="L1077" s="71"/>
    </row>
    <row r="1078" spans="6:12" x14ac:dyDescent="0.3">
      <c r="F1078" s="50"/>
      <c r="G1078" s="51"/>
      <c r="H1078" s="48"/>
      <c r="I1078" s="70"/>
      <c r="J1078" s="70"/>
      <c r="K1078" s="71"/>
      <c r="L1078" s="71"/>
    </row>
    <row r="1079" spans="6:12" x14ac:dyDescent="0.3">
      <c r="F1079" s="50"/>
      <c r="G1079" s="51"/>
      <c r="H1079" s="48"/>
      <c r="I1079" s="70"/>
      <c r="J1079" s="70"/>
      <c r="K1079" s="71"/>
      <c r="L1079" s="71"/>
    </row>
    <row r="1080" spans="6:12" x14ac:dyDescent="0.3">
      <c r="F1080" s="50"/>
      <c r="G1080" s="51"/>
      <c r="H1080" s="48"/>
      <c r="I1080" s="70"/>
      <c r="J1080" s="70"/>
      <c r="K1080" s="71"/>
      <c r="L1080" s="71"/>
    </row>
    <row r="1081" spans="6:12" x14ac:dyDescent="0.3">
      <c r="F1081" s="50"/>
      <c r="G1081" s="51"/>
      <c r="H1081" s="48"/>
      <c r="I1081" s="70"/>
      <c r="J1081" s="70"/>
      <c r="K1081" s="71"/>
      <c r="L1081" s="71"/>
    </row>
    <row r="1082" spans="6:12" x14ac:dyDescent="0.3">
      <c r="F1082" s="50"/>
      <c r="G1082" s="51"/>
      <c r="H1082" s="48"/>
      <c r="I1082" s="70"/>
      <c r="J1082" s="70"/>
      <c r="K1082" s="71"/>
      <c r="L1082" s="71"/>
    </row>
    <row r="1083" spans="6:12" x14ac:dyDescent="0.3">
      <c r="F1083" s="50"/>
      <c r="G1083" s="51"/>
      <c r="H1083" s="48"/>
      <c r="I1083" s="70"/>
      <c r="J1083" s="70"/>
      <c r="K1083" s="71"/>
      <c r="L1083" s="71"/>
    </row>
    <row r="1084" spans="6:12" x14ac:dyDescent="0.3">
      <c r="F1084" s="50"/>
      <c r="G1084" s="51"/>
      <c r="H1084" s="48"/>
      <c r="I1084" s="70"/>
      <c r="J1084" s="70"/>
      <c r="K1084" s="71"/>
      <c r="L1084" s="71"/>
    </row>
    <row r="1085" spans="6:12" x14ac:dyDescent="0.3">
      <c r="F1085" s="50"/>
      <c r="G1085" s="51"/>
      <c r="H1085" s="48"/>
      <c r="I1085" s="70"/>
      <c r="J1085" s="70"/>
      <c r="K1085" s="71"/>
      <c r="L1085" s="71"/>
    </row>
    <row r="1086" spans="6:12" x14ac:dyDescent="0.3">
      <c r="F1086" s="50"/>
      <c r="G1086" s="51"/>
      <c r="H1086" s="48"/>
      <c r="I1086" s="70"/>
      <c r="J1086" s="70"/>
      <c r="K1086" s="71"/>
      <c r="L1086" s="71"/>
    </row>
    <row r="1087" spans="6:12" x14ac:dyDescent="0.3">
      <c r="F1087" s="50"/>
      <c r="G1087" s="51"/>
      <c r="H1087" s="48"/>
      <c r="I1087" s="70"/>
      <c r="J1087" s="70"/>
      <c r="K1087" s="71"/>
      <c r="L1087" s="71"/>
    </row>
    <row r="1088" spans="6:12" x14ac:dyDescent="0.3">
      <c r="F1088" s="50"/>
      <c r="G1088" s="51"/>
      <c r="H1088" s="48"/>
      <c r="I1088" s="70"/>
      <c r="J1088" s="70"/>
      <c r="K1088" s="71"/>
      <c r="L1088" s="71"/>
    </row>
    <row r="1089" spans="6:12" x14ac:dyDescent="0.3">
      <c r="F1089" s="50"/>
      <c r="G1089" s="51"/>
      <c r="H1089" s="48"/>
      <c r="I1089" s="70"/>
      <c r="J1089" s="70"/>
      <c r="K1089" s="71"/>
      <c r="L1089" s="71"/>
    </row>
    <row r="1090" spans="6:12" x14ac:dyDescent="0.3">
      <c r="F1090" s="50"/>
      <c r="G1090" s="51"/>
      <c r="H1090" s="48"/>
      <c r="I1090" s="70"/>
      <c r="J1090" s="70"/>
      <c r="K1090" s="71"/>
      <c r="L1090" s="71"/>
    </row>
    <row r="1091" spans="6:12" x14ac:dyDescent="0.3">
      <c r="F1091" s="50"/>
      <c r="G1091" s="51"/>
      <c r="H1091" s="48"/>
      <c r="I1091" s="70"/>
      <c r="J1091" s="70"/>
      <c r="K1091" s="71"/>
      <c r="L1091" s="71"/>
    </row>
    <row r="1092" spans="6:12" x14ac:dyDescent="0.3">
      <c r="F1092" s="50"/>
      <c r="G1092" s="51"/>
      <c r="H1092" s="48"/>
      <c r="I1092" s="70"/>
      <c r="J1092" s="70"/>
      <c r="K1092" s="71"/>
      <c r="L1092" s="71"/>
    </row>
    <row r="1093" spans="6:12" x14ac:dyDescent="0.3">
      <c r="F1093" s="50"/>
      <c r="G1093" s="51"/>
      <c r="H1093" s="48"/>
      <c r="I1093" s="70"/>
      <c r="J1093" s="70"/>
      <c r="K1093" s="71"/>
      <c r="L1093" s="71"/>
    </row>
    <row r="1094" spans="6:12" x14ac:dyDescent="0.3">
      <c r="F1094" s="50"/>
      <c r="G1094" s="51"/>
      <c r="H1094" s="48"/>
      <c r="I1094" s="70"/>
      <c r="J1094" s="70"/>
      <c r="K1094" s="71"/>
      <c r="L1094" s="71"/>
    </row>
    <row r="1095" spans="6:12" x14ac:dyDescent="0.3">
      <c r="F1095" s="50"/>
      <c r="G1095" s="51"/>
      <c r="H1095" s="48"/>
      <c r="I1095" s="70"/>
      <c r="J1095" s="70"/>
      <c r="K1095" s="71"/>
      <c r="L1095" s="71"/>
    </row>
    <row r="1096" spans="6:12" x14ac:dyDescent="0.3">
      <c r="F1096" s="50"/>
      <c r="G1096" s="51"/>
      <c r="H1096" s="48"/>
      <c r="I1096" s="70"/>
      <c r="J1096" s="70"/>
      <c r="K1096" s="71"/>
      <c r="L1096" s="71"/>
    </row>
    <row r="1097" spans="6:12" x14ac:dyDescent="0.3">
      <c r="F1097" s="50"/>
      <c r="G1097" s="51"/>
      <c r="H1097" s="48"/>
      <c r="I1097" s="70"/>
      <c r="J1097" s="70"/>
      <c r="K1097" s="71"/>
      <c r="L1097" s="71"/>
    </row>
    <row r="1098" spans="6:12" x14ac:dyDescent="0.3">
      <c r="F1098" s="50"/>
      <c r="G1098" s="51"/>
      <c r="H1098" s="48"/>
      <c r="I1098" s="70"/>
      <c r="J1098" s="70"/>
      <c r="K1098" s="71"/>
      <c r="L1098" s="71"/>
    </row>
    <row r="1099" spans="6:12" x14ac:dyDescent="0.3">
      <c r="F1099" s="50"/>
      <c r="G1099" s="51"/>
      <c r="H1099" s="48"/>
      <c r="I1099" s="70"/>
      <c r="J1099" s="70"/>
      <c r="K1099" s="71"/>
      <c r="L1099" s="71"/>
    </row>
    <row r="1100" spans="6:12" x14ac:dyDescent="0.3">
      <c r="F1100" s="50"/>
      <c r="G1100" s="51"/>
      <c r="H1100" s="48"/>
      <c r="I1100" s="70"/>
      <c r="J1100" s="70"/>
      <c r="K1100" s="71"/>
      <c r="L1100" s="71"/>
    </row>
    <row r="1101" spans="6:12" x14ac:dyDescent="0.3">
      <c r="F1101" s="50"/>
      <c r="G1101" s="51"/>
      <c r="H1101" s="48"/>
      <c r="I1101" s="70"/>
      <c r="J1101" s="70"/>
      <c r="K1101" s="71"/>
      <c r="L1101" s="71"/>
    </row>
    <row r="1102" spans="6:12" x14ac:dyDescent="0.3">
      <c r="F1102" s="50"/>
      <c r="G1102" s="51"/>
      <c r="H1102" s="48"/>
      <c r="I1102" s="70"/>
      <c r="J1102" s="70"/>
      <c r="K1102" s="71"/>
      <c r="L1102" s="71"/>
    </row>
    <row r="1103" spans="6:12" x14ac:dyDescent="0.3">
      <c r="F1103" s="50"/>
      <c r="G1103" s="51"/>
      <c r="H1103" s="48"/>
      <c r="I1103" s="70"/>
      <c r="J1103" s="70"/>
      <c r="K1103" s="71"/>
      <c r="L1103" s="71"/>
    </row>
    <row r="1104" spans="6:12" x14ac:dyDescent="0.3">
      <c r="F1104" s="50"/>
      <c r="G1104" s="51"/>
      <c r="H1104" s="48"/>
      <c r="I1104" s="70"/>
      <c r="J1104" s="70"/>
      <c r="K1104" s="71"/>
      <c r="L1104" s="71"/>
    </row>
    <row r="1105" spans="6:12" x14ac:dyDescent="0.3">
      <c r="F1105" s="50"/>
      <c r="G1105" s="51"/>
      <c r="H1105" s="48"/>
      <c r="I1105" s="70"/>
      <c r="J1105" s="70"/>
      <c r="K1105" s="71"/>
      <c r="L1105" s="71"/>
    </row>
    <row r="1106" spans="6:12" x14ac:dyDescent="0.3">
      <c r="F1106" s="50"/>
      <c r="G1106" s="51"/>
      <c r="H1106" s="48"/>
      <c r="I1106" s="70"/>
      <c r="J1106" s="70"/>
      <c r="K1106" s="71"/>
      <c r="L1106" s="71"/>
    </row>
    <row r="1107" spans="6:12" x14ac:dyDescent="0.3">
      <c r="F1107" s="50"/>
      <c r="G1107" s="51"/>
      <c r="H1107" s="48"/>
      <c r="I1107" s="70"/>
      <c r="J1107" s="70"/>
      <c r="K1107" s="71"/>
      <c r="L1107" s="71"/>
    </row>
    <row r="1108" spans="6:12" x14ac:dyDescent="0.3">
      <c r="F1108" s="50"/>
      <c r="G1108" s="51"/>
      <c r="H1108" s="48"/>
      <c r="I1108" s="70"/>
      <c r="J1108" s="70"/>
      <c r="K1108" s="71"/>
      <c r="L1108" s="71"/>
    </row>
    <row r="1109" spans="6:12" x14ac:dyDescent="0.3">
      <c r="F1109" s="50"/>
      <c r="G1109" s="51"/>
      <c r="H1109" s="48"/>
      <c r="I1109" s="70"/>
      <c r="J1109" s="70"/>
      <c r="K1109" s="71"/>
      <c r="L1109" s="71"/>
    </row>
    <row r="1110" spans="6:12" x14ac:dyDescent="0.3">
      <c r="F1110" s="50"/>
      <c r="G1110" s="51"/>
      <c r="H1110" s="48"/>
      <c r="I1110" s="70"/>
      <c r="J1110" s="70"/>
      <c r="K1110" s="71"/>
      <c r="L1110" s="71"/>
    </row>
    <row r="1111" spans="6:12" x14ac:dyDescent="0.3">
      <c r="F1111" s="50"/>
      <c r="G1111" s="51"/>
      <c r="H1111" s="48"/>
      <c r="I1111" s="70"/>
      <c r="J1111" s="70"/>
      <c r="K1111" s="71"/>
      <c r="L1111" s="71"/>
    </row>
    <row r="1112" spans="6:12" x14ac:dyDescent="0.3">
      <c r="F1112" s="50"/>
      <c r="G1112" s="51"/>
      <c r="H1112" s="48"/>
      <c r="I1112" s="70"/>
      <c r="J1112" s="70"/>
      <c r="K1112" s="71"/>
      <c r="L1112" s="71"/>
    </row>
    <row r="1113" spans="6:12" x14ac:dyDescent="0.3">
      <c r="F1113" s="50"/>
      <c r="G1113" s="51"/>
      <c r="H1113" s="48"/>
      <c r="I1113" s="70"/>
      <c r="J1113" s="70"/>
      <c r="K1113" s="71"/>
      <c r="L1113" s="71"/>
    </row>
    <row r="1114" spans="6:12" x14ac:dyDescent="0.3">
      <c r="F1114" s="50"/>
      <c r="G1114" s="51"/>
      <c r="H1114" s="48"/>
      <c r="I1114" s="70"/>
      <c r="J1114" s="70"/>
      <c r="K1114" s="71"/>
      <c r="L1114" s="71"/>
    </row>
    <row r="1115" spans="6:12" x14ac:dyDescent="0.3">
      <c r="F1115" s="50"/>
      <c r="G1115" s="51"/>
      <c r="H1115" s="48"/>
      <c r="I1115" s="70"/>
      <c r="J1115" s="70"/>
      <c r="K1115" s="71"/>
      <c r="L1115" s="71"/>
    </row>
    <row r="1116" spans="6:12" x14ac:dyDescent="0.3">
      <c r="F1116" s="50"/>
      <c r="G1116" s="51"/>
      <c r="H1116" s="48"/>
      <c r="I1116" s="70"/>
      <c r="J1116" s="70"/>
      <c r="K1116" s="71"/>
      <c r="L1116" s="71"/>
    </row>
    <row r="1117" spans="6:12" x14ac:dyDescent="0.3">
      <c r="F1117" s="50"/>
      <c r="G1117" s="51"/>
      <c r="H1117" s="48"/>
      <c r="I1117" s="70"/>
      <c r="J1117" s="70"/>
      <c r="K1117" s="71"/>
      <c r="L1117" s="71"/>
    </row>
    <row r="1118" spans="6:12" x14ac:dyDescent="0.3">
      <c r="F1118" s="50"/>
      <c r="G1118" s="51"/>
      <c r="H1118" s="48"/>
      <c r="I1118" s="70"/>
      <c r="J1118" s="70"/>
      <c r="K1118" s="71"/>
      <c r="L1118" s="71"/>
    </row>
    <row r="1119" spans="6:12" x14ac:dyDescent="0.3">
      <c r="F1119" s="50"/>
      <c r="G1119" s="51"/>
      <c r="H1119" s="48"/>
      <c r="I1119" s="70"/>
      <c r="J1119" s="70"/>
      <c r="K1119" s="71"/>
      <c r="L1119" s="71"/>
    </row>
    <row r="1120" spans="6:12" x14ac:dyDescent="0.3">
      <c r="F1120" s="50"/>
      <c r="G1120" s="51"/>
      <c r="H1120" s="48"/>
      <c r="I1120" s="70"/>
      <c r="J1120" s="70"/>
      <c r="K1120" s="71"/>
      <c r="L1120" s="71"/>
    </row>
    <row r="1121" spans="6:12" x14ac:dyDescent="0.3">
      <c r="F1121" s="50"/>
      <c r="G1121" s="51"/>
      <c r="H1121" s="48"/>
      <c r="I1121" s="70"/>
      <c r="J1121" s="70"/>
      <c r="K1121" s="71"/>
      <c r="L1121" s="71"/>
    </row>
    <row r="1122" spans="6:12" x14ac:dyDescent="0.3">
      <c r="F1122" s="50"/>
      <c r="G1122" s="51"/>
      <c r="H1122" s="48"/>
      <c r="I1122" s="70"/>
      <c r="J1122" s="70"/>
      <c r="K1122" s="71"/>
      <c r="L1122" s="71"/>
    </row>
    <row r="1123" spans="6:12" x14ac:dyDescent="0.3">
      <c r="F1123" s="50"/>
      <c r="G1123" s="51"/>
      <c r="H1123" s="48"/>
      <c r="I1123" s="70"/>
      <c r="J1123" s="70"/>
      <c r="K1123" s="71"/>
      <c r="L1123" s="71"/>
    </row>
    <row r="1124" spans="6:12" x14ac:dyDescent="0.3">
      <c r="F1124" s="50"/>
      <c r="G1124" s="51"/>
      <c r="H1124" s="48"/>
      <c r="I1124" s="70"/>
      <c r="J1124" s="70"/>
      <c r="K1124" s="71"/>
      <c r="L1124" s="71"/>
    </row>
    <row r="1125" spans="6:12" x14ac:dyDescent="0.3">
      <c r="F1125" s="50"/>
      <c r="G1125" s="51"/>
      <c r="H1125" s="48"/>
      <c r="I1125" s="70"/>
      <c r="J1125" s="70"/>
      <c r="K1125" s="71"/>
      <c r="L1125" s="71"/>
    </row>
    <row r="1126" spans="6:12" x14ac:dyDescent="0.3">
      <c r="F1126" s="50"/>
      <c r="G1126" s="51"/>
      <c r="H1126" s="48"/>
      <c r="I1126" s="70"/>
      <c r="J1126" s="70"/>
      <c r="K1126" s="71"/>
      <c r="L1126" s="71"/>
    </row>
    <row r="1127" spans="6:12" x14ac:dyDescent="0.3">
      <c r="F1127" s="50"/>
      <c r="G1127" s="51"/>
      <c r="H1127" s="48"/>
      <c r="I1127" s="70"/>
      <c r="J1127" s="70"/>
      <c r="K1127" s="71"/>
      <c r="L1127" s="71"/>
    </row>
    <row r="1128" spans="6:12" x14ac:dyDescent="0.3">
      <c r="F1128" s="50"/>
      <c r="G1128" s="51"/>
      <c r="H1128" s="48"/>
      <c r="I1128" s="70"/>
      <c r="J1128" s="70"/>
      <c r="K1128" s="71"/>
      <c r="L1128" s="71"/>
    </row>
    <row r="1129" spans="6:12" x14ac:dyDescent="0.3">
      <c r="F1129" s="50"/>
      <c r="G1129" s="51"/>
      <c r="H1129" s="48"/>
      <c r="I1129" s="70"/>
      <c r="J1129" s="70"/>
      <c r="K1129" s="71"/>
      <c r="L1129" s="71"/>
    </row>
    <row r="1130" spans="6:12" x14ac:dyDescent="0.3">
      <c r="F1130" s="50"/>
      <c r="G1130" s="51"/>
      <c r="H1130" s="48"/>
      <c r="I1130" s="70"/>
      <c r="J1130" s="70"/>
      <c r="K1130" s="71"/>
      <c r="L1130" s="71"/>
    </row>
    <row r="1131" spans="6:12" x14ac:dyDescent="0.3">
      <c r="F1131" s="50"/>
      <c r="G1131" s="51"/>
      <c r="H1131" s="49"/>
      <c r="I1131" s="70"/>
      <c r="J1131" s="70"/>
      <c r="K1131" s="71"/>
      <c r="L1131" s="71"/>
    </row>
    <row r="1132" spans="6:12" x14ac:dyDescent="0.3">
      <c r="F1132" s="50"/>
      <c r="G1132" s="51"/>
      <c r="H1132" s="49"/>
      <c r="I1132" s="70"/>
      <c r="J1132" s="70"/>
      <c r="K1132" s="71"/>
      <c r="L1132" s="71"/>
    </row>
    <row r="1133" spans="6:12" x14ac:dyDescent="0.3">
      <c r="F1133" s="50"/>
      <c r="G1133" s="51"/>
      <c r="H1133" s="49"/>
      <c r="I1133" s="70"/>
      <c r="J1133" s="70"/>
      <c r="K1133" s="71"/>
      <c r="L1133" s="71"/>
    </row>
    <row r="1134" spans="6:12" x14ac:dyDescent="0.3">
      <c r="F1134" s="50"/>
      <c r="G1134" s="51"/>
      <c r="H1134" s="49"/>
      <c r="I1134" s="70"/>
      <c r="J1134" s="70"/>
      <c r="K1134" s="71"/>
      <c r="L1134" s="71"/>
    </row>
    <row r="1135" spans="6:12" x14ac:dyDescent="0.3">
      <c r="F1135" s="50"/>
      <c r="G1135" s="51"/>
      <c r="H1135" s="49"/>
      <c r="I1135" s="70"/>
      <c r="J1135" s="70"/>
      <c r="K1135" s="71"/>
      <c r="L1135" s="71"/>
    </row>
    <row r="1136" spans="6:12" x14ac:dyDescent="0.3">
      <c r="F1136" s="50"/>
      <c r="G1136" s="51"/>
      <c r="H1136" s="49"/>
      <c r="I1136" s="70"/>
      <c r="J1136" s="70"/>
      <c r="K1136" s="71"/>
      <c r="L1136" s="71"/>
    </row>
    <row r="1137" spans="6:12" x14ac:dyDescent="0.3">
      <c r="F1137" s="50"/>
      <c r="G1137" s="51"/>
      <c r="H1137" s="49"/>
      <c r="I1137" s="70"/>
      <c r="J1137" s="70"/>
      <c r="K1137" s="71"/>
      <c r="L1137" s="71"/>
    </row>
    <row r="1138" spans="6:12" x14ac:dyDescent="0.3">
      <c r="F1138" s="50"/>
      <c r="G1138" s="51"/>
      <c r="H1138" s="49"/>
      <c r="I1138" s="70"/>
      <c r="J1138" s="70"/>
      <c r="K1138" s="71"/>
      <c r="L1138" s="71"/>
    </row>
    <row r="1139" spans="6:12" x14ac:dyDescent="0.3">
      <c r="F1139" s="50"/>
      <c r="G1139" s="51"/>
      <c r="H1139" s="49"/>
      <c r="I1139" s="70"/>
      <c r="J1139" s="70"/>
      <c r="K1139" s="71"/>
      <c r="L1139" s="71"/>
    </row>
    <row r="1140" spans="6:12" x14ac:dyDescent="0.3">
      <c r="F1140" s="50"/>
      <c r="G1140" s="51"/>
      <c r="H1140" s="49"/>
      <c r="I1140" s="70"/>
      <c r="J1140" s="70"/>
      <c r="K1140" s="71"/>
      <c r="L1140" s="71"/>
    </row>
    <row r="1141" spans="6:12" x14ac:dyDescent="0.3">
      <c r="F1141" s="50"/>
      <c r="G1141" s="51"/>
      <c r="H1141" s="49"/>
      <c r="I1141" s="70"/>
      <c r="J1141" s="70"/>
      <c r="K1141" s="71"/>
      <c r="L1141" s="71"/>
    </row>
    <row r="1142" spans="6:12" x14ac:dyDescent="0.3">
      <c r="F1142" s="50"/>
      <c r="G1142" s="51"/>
      <c r="H1142" s="49"/>
      <c r="I1142" s="70"/>
      <c r="J1142" s="70"/>
      <c r="K1142" s="71"/>
      <c r="L1142" s="71"/>
    </row>
    <row r="1143" spans="6:12" x14ac:dyDescent="0.3">
      <c r="F1143" s="50"/>
      <c r="G1143" s="51"/>
      <c r="H1143" s="49"/>
      <c r="I1143" s="70"/>
      <c r="J1143" s="70"/>
      <c r="K1143" s="71"/>
      <c r="L1143" s="71"/>
    </row>
    <row r="1144" spans="6:12" x14ac:dyDescent="0.3">
      <c r="F1144" s="50"/>
      <c r="G1144" s="51"/>
      <c r="H1144" s="49"/>
      <c r="I1144" s="70"/>
      <c r="J1144" s="70"/>
      <c r="K1144" s="71"/>
      <c r="L1144" s="71"/>
    </row>
    <row r="1145" spans="6:12" x14ac:dyDescent="0.3">
      <c r="F1145" s="50"/>
      <c r="G1145" s="51"/>
      <c r="H1145" s="49"/>
      <c r="I1145" s="70"/>
      <c r="J1145" s="70"/>
      <c r="K1145" s="71"/>
      <c r="L1145" s="71"/>
    </row>
    <row r="1146" spans="6:12" x14ac:dyDescent="0.3">
      <c r="F1146" s="50"/>
      <c r="G1146" s="51"/>
      <c r="H1146" s="49"/>
      <c r="I1146" s="70"/>
      <c r="J1146" s="70"/>
      <c r="K1146" s="71"/>
      <c r="L1146" s="71"/>
    </row>
    <row r="1147" spans="6:12" x14ac:dyDescent="0.3">
      <c r="F1147" s="50"/>
      <c r="G1147" s="51"/>
      <c r="H1147" s="49"/>
      <c r="I1147" s="70"/>
      <c r="J1147" s="70"/>
      <c r="K1147" s="71"/>
      <c r="L1147" s="71"/>
    </row>
    <row r="1148" spans="6:12" x14ac:dyDescent="0.3">
      <c r="F1148" s="50"/>
      <c r="G1148" s="51"/>
      <c r="H1148" s="49"/>
      <c r="I1148" s="70"/>
      <c r="J1148" s="70"/>
      <c r="K1148" s="71"/>
      <c r="L1148" s="71"/>
    </row>
    <row r="1149" spans="6:12" x14ac:dyDescent="0.3">
      <c r="F1149" s="50"/>
      <c r="G1149" s="51"/>
      <c r="H1149" s="49"/>
      <c r="I1149" s="70"/>
      <c r="J1149" s="70"/>
      <c r="K1149" s="71"/>
      <c r="L1149" s="71"/>
    </row>
    <row r="1150" spans="6:12" x14ac:dyDescent="0.3">
      <c r="F1150" s="50"/>
      <c r="G1150" s="51"/>
      <c r="H1150" s="49"/>
      <c r="I1150" s="70"/>
      <c r="J1150" s="70"/>
      <c r="K1150" s="71"/>
      <c r="L1150" s="71"/>
    </row>
    <row r="1151" spans="6:12" x14ac:dyDescent="0.3">
      <c r="F1151" s="50"/>
      <c r="G1151" s="51"/>
      <c r="H1151" s="49"/>
      <c r="I1151" s="70"/>
      <c r="J1151" s="70"/>
      <c r="K1151" s="71"/>
      <c r="L1151" s="71"/>
    </row>
    <row r="1152" spans="6:12" x14ac:dyDescent="0.3">
      <c r="F1152" s="50"/>
      <c r="G1152" s="51"/>
      <c r="H1152" s="49"/>
      <c r="I1152" s="70"/>
      <c r="J1152" s="70"/>
      <c r="K1152" s="71"/>
      <c r="L1152" s="71"/>
    </row>
    <row r="1153" spans="6:12" x14ac:dyDescent="0.3">
      <c r="F1153" s="50"/>
      <c r="G1153" s="51"/>
      <c r="H1153" s="49"/>
      <c r="I1153" s="70"/>
      <c r="J1153" s="70"/>
      <c r="K1153" s="71"/>
      <c r="L1153" s="71"/>
    </row>
    <row r="1154" spans="6:12" x14ac:dyDescent="0.3">
      <c r="F1154" s="50"/>
      <c r="G1154" s="51"/>
      <c r="H1154" s="49"/>
      <c r="I1154" s="70"/>
      <c r="J1154" s="70"/>
      <c r="K1154" s="71"/>
      <c r="L1154" s="71"/>
    </row>
    <row r="1155" spans="6:12" x14ac:dyDescent="0.3">
      <c r="F1155" s="50"/>
      <c r="G1155" s="51"/>
      <c r="H1155" s="49"/>
      <c r="I1155" s="70"/>
      <c r="J1155" s="70"/>
      <c r="K1155" s="71"/>
      <c r="L1155" s="71"/>
    </row>
    <row r="1156" spans="6:12" x14ac:dyDescent="0.3">
      <c r="F1156" s="50"/>
      <c r="G1156" s="51"/>
      <c r="H1156" s="49"/>
      <c r="I1156" s="70"/>
      <c r="J1156" s="70"/>
      <c r="K1156" s="71"/>
      <c r="L1156" s="71"/>
    </row>
    <row r="1157" spans="6:12" x14ac:dyDescent="0.3">
      <c r="F1157" s="50"/>
      <c r="G1157" s="51"/>
      <c r="H1157" s="49"/>
      <c r="I1157" s="70"/>
      <c r="J1157" s="70"/>
      <c r="K1157" s="71"/>
      <c r="L1157" s="71"/>
    </row>
    <row r="1158" spans="6:12" x14ac:dyDescent="0.3">
      <c r="F1158" s="50"/>
      <c r="G1158" s="51"/>
      <c r="H1158" s="49"/>
      <c r="I1158" s="70"/>
      <c r="J1158" s="70"/>
      <c r="K1158" s="71"/>
      <c r="L1158" s="71"/>
    </row>
    <row r="1159" spans="6:12" x14ac:dyDescent="0.3">
      <c r="F1159" s="50"/>
      <c r="G1159" s="51"/>
      <c r="H1159" s="49"/>
      <c r="I1159" s="70"/>
      <c r="J1159" s="70"/>
      <c r="K1159" s="71"/>
      <c r="L1159" s="71"/>
    </row>
    <row r="1160" spans="6:12" x14ac:dyDescent="0.3">
      <c r="F1160" s="50"/>
      <c r="G1160" s="51"/>
      <c r="H1160" s="49"/>
      <c r="I1160" s="70"/>
      <c r="J1160" s="70"/>
      <c r="K1160" s="71"/>
      <c r="L1160" s="71"/>
    </row>
    <row r="1161" spans="6:12" x14ac:dyDescent="0.3">
      <c r="F1161" s="50"/>
      <c r="G1161" s="51"/>
      <c r="H1161" s="49"/>
      <c r="I1161" s="70"/>
      <c r="J1161" s="70"/>
      <c r="K1161" s="71"/>
      <c r="L1161" s="71"/>
    </row>
    <row r="1162" spans="6:12" x14ac:dyDescent="0.3">
      <c r="F1162" s="50"/>
      <c r="G1162" s="51"/>
      <c r="H1162" s="49"/>
      <c r="I1162" s="70"/>
      <c r="J1162" s="70"/>
      <c r="K1162" s="71"/>
      <c r="L1162" s="71"/>
    </row>
    <row r="1163" spans="6:12" x14ac:dyDescent="0.3">
      <c r="F1163" s="50"/>
      <c r="G1163" s="51"/>
      <c r="H1163" s="49"/>
      <c r="I1163" s="70"/>
      <c r="J1163" s="70"/>
      <c r="K1163" s="71"/>
      <c r="L1163" s="71"/>
    </row>
    <row r="1164" spans="6:12" x14ac:dyDescent="0.3">
      <c r="F1164" s="50"/>
      <c r="G1164" s="51"/>
      <c r="H1164" s="49"/>
      <c r="I1164" s="70"/>
      <c r="J1164" s="70"/>
      <c r="K1164" s="71"/>
      <c r="L1164" s="71"/>
    </row>
    <row r="1165" spans="6:12" x14ac:dyDescent="0.3">
      <c r="F1165" s="50"/>
      <c r="G1165" s="51"/>
      <c r="H1165" s="49"/>
      <c r="I1165" s="70"/>
      <c r="J1165" s="70"/>
      <c r="K1165" s="71"/>
      <c r="L1165" s="71"/>
    </row>
    <row r="1166" spans="6:12" x14ac:dyDescent="0.3">
      <c r="F1166" s="50"/>
      <c r="G1166" s="51"/>
      <c r="H1166" s="49"/>
      <c r="I1166" s="70"/>
      <c r="J1166" s="70"/>
      <c r="K1166" s="71"/>
      <c r="L1166" s="71"/>
    </row>
    <row r="1167" spans="6:12" x14ac:dyDescent="0.3">
      <c r="F1167" s="50"/>
      <c r="G1167" s="51"/>
      <c r="H1167" s="49"/>
      <c r="I1167" s="70"/>
      <c r="J1167" s="70"/>
      <c r="K1167" s="71"/>
      <c r="L1167" s="71"/>
    </row>
    <row r="1168" spans="6:12" x14ac:dyDescent="0.3">
      <c r="F1168" s="50"/>
      <c r="G1168" s="51"/>
      <c r="H1168" s="49"/>
      <c r="I1168" s="70"/>
      <c r="J1168" s="70"/>
      <c r="K1168" s="71"/>
      <c r="L1168" s="71"/>
    </row>
    <row r="1169" spans="6:12" x14ac:dyDescent="0.3">
      <c r="F1169" s="50"/>
      <c r="G1169" s="51"/>
      <c r="H1169" s="49"/>
      <c r="I1169" s="70"/>
      <c r="J1169" s="70"/>
      <c r="K1169" s="71"/>
      <c r="L1169" s="71"/>
    </row>
    <row r="1170" spans="6:12" x14ac:dyDescent="0.3">
      <c r="F1170" s="50"/>
      <c r="G1170" s="51"/>
      <c r="H1170" s="49"/>
      <c r="I1170" s="70"/>
      <c r="J1170" s="70"/>
      <c r="K1170" s="71"/>
      <c r="L1170" s="71"/>
    </row>
    <row r="1171" spans="6:12" x14ac:dyDescent="0.3">
      <c r="F1171" s="50"/>
      <c r="G1171" s="51"/>
      <c r="H1171" s="49"/>
      <c r="I1171" s="70"/>
      <c r="J1171" s="70"/>
      <c r="K1171" s="71"/>
      <c r="L1171" s="71"/>
    </row>
    <row r="1172" spans="6:12" x14ac:dyDescent="0.3">
      <c r="F1172" s="50"/>
      <c r="G1172" s="51"/>
      <c r="H1172" s="49"/>
      <c r="I1172" s="70"/>
      <c r="J1172" s="70"/>
      <c r="K1172" s="71"/>
      <c r="L1172" s="71"/>
    </row>
    <row r="1173" spans="6:12" x14ac:dyDescent="0.3">
      <c r="F1173" s="50"/>
      <c r="G1173" s="51"/>
      <c r="H1173" s="49"/>
      <c r="I1173" s="70"/>
      <c r="J1173" s="70"/>
      <c r="K1173" s="71"/>
      <c r="L1173" s="71"/>
    </row>
    <row r="1174" spans="6:12" x14ac:dyDescent="0.3">
      <c r="F1174" s="50"/>
      <c r="G1174" s="51"/>
      <c r="H1174" s="49"/>
      <c r="I1174" s="70"/>
      <c r="J1174" s="70"/>
      <c r="K1174" s="71"/>
      <c r="L1174" s="71"/>
    </row>
    <row r="1175" spans="6:12" x14ac:dyDescent="0.3">
      <c r="F1175" s="50"/>
      <c r="G1175" s="51"/>
      <c r="H1175" s="49"/>
      <c r="I1175" s="70"/>
      <c r="J1175" s="70"/>
      <c r="K1175" s="71"/>
      <c r="L1175" s="71"/>
    </row>
    <row r="1176" spans="6:12" x14ac:dyDescent="0.3">
      <c r="F1176" s="50"/>
      <c r="G1176" s="51"/>
      <c r="H1176" s="49"/>
      <c r="I1176" s="70"/>
      <c r="J1176" s="70"/>
      <c r="K1176" s="71"/>
      <c r="L1176" s="71"/>
    </row>
    <row r="1177" spans="6:12" x14ac:dyDescent="0.3">
      <c r="F1177" s="50"/>
      <c r="G1177" s="51"/>
      <c r="H1177" s="49"/>
      <c r="I1177" s="70"/>
      <c r="J1177" s="70"/>
      <c r="K1177" s="71"/>
      <c r="L1177" s="71"/>
    </row>
    <row r="1178" spans="6:12" x14ac:dyDescent="0.3">
      <c r="F1178" s="50"/>
      <c r="G1178" s="51"/>
      <c r="H1178" s="49"/>
      <c r="I1178" s="70"/>
      <c r="J1178" s="70"/>
      <c r="K1178" s="71"/>
      <c r="L1178" s="71"/>
    </row>
    <row r="1179" spans="6:12" x14ac:dyDescent="0.3">
      <c r="F1179" s="50"/>
      <c r="G1179" s="51"/>
      <c r="H1179" s="49"/>
      <c r="I1179" s="70"/>
      <c r="J1179" s="70"/>
      <c r="K1179" s="71"/>
      <c r="L1179" s="71"/>
    </row>
    <row r="1180" spans="6:12" x14ac:dyDescent="0.3">
      <c r="F1180" s="50"/>
      <c r="G1180" s="51"/>
      <c r="H1180" s="49"/>
      <c r="I1180" s="70"/>
      <c r="J1180" s="70"/>
      <c r="K1180" s="71"/>
      <c r="L1180" s="71"/>
    </row>
    <row r="1181" spans="6:12" x14ac:dyDescent="0.3">
      <c r="F1181" s="50"/>
      <c r="G1181" s="51"/>
      <c r="H1181" s="49"/>
      <c r="I1181" s="70"/>
      <c r="J1181" s="70"/>
      <c r="K1181" s="71"/>
      <c r="L1181" s="71"/>
    </row>
    <row r="1182" spans="6:12" x14ac:dyDescent="0.3">
      <c r="F1182" s="50"/>
      <c r="G1182" s="51"/>
      <c r="H1182" s="49"/>
      <c r="I1182" s="70"/>
      <c r="J1182" s="70"/>
      <c r="K1182" s="71"/>
      <c r="L1182" s="71"/>
    </row>
    <row r="1183" spans="6:12" x14ac:dyDescent="0.3">
      <c r="F1183" s="50"/>
      <c r="G1183" s="51"/>
      <c r="H1183" s="49"/>
      <c r="I1183" s="70"/>
      <c r="J1183" s="70"/>
      <c r="K1183" s="71"/>
      <c r="L1183" s="71"/>
    </row>
    <row r="1184" spans="6:12" x14ac:dyDescent="0.3">
      <c r="F1184" s="50"/>
      <c r="G1184" s="51"/>
      <c r="H1184" s="49"/>
      <c r="I1184" s="70"/>
      <c r="J1184" s="70"/>
      <c r="K1184" s="71"/>
      <c r="L1184" s="71"/>
    </row>
    <row r="1185" spans="6:12" x14ac:dyDescent="0.3">
      <c r="F1185" s="50"/>
      <c r="G1185" s="51"/>
      <c r="H1185" s="49"/>
      <c r="I1185" s="70"/>
      <c r="J1185" s="70"/>
      <c r="K1185" s="71"/>
      <c r="L1185" s="71"/>
    </row>
    <row r="1186" spans="6:12" x14ac:dyDescent="0.3">
      <c r="F1186" s="50"/>
      <c r="G1186" s="51"/>
      <c r="H1186" s="49"/>
      <c r="I1186" s="70"/>
      <c r="J1186" s="70"/>
      <c r="K1186" s="71"/>
      <c r="L1186" s="71"/>
    </row>
    <row r="1187" spans="6:12" x14ac:dyDescent="0.3">
      <c r="F1187" s="50"/>
      <c r="G1187" s="51"/>
      <c r="H1187" s="49"/>
      <c r="I1187" s="70"/>
      <c r="J1187" s="70"/>
      <c r="K1187" s="71"/>
      <c r="L1187" s="71"/>
    </row>
    <row r="1188" spans="6:12" x14ac:dyDescent="0.3">
      <c r="F1188" s="50"/>
      <c r="G1188" s="51"/>
      <c r="H1188" s="49"/>
      <c r="I1188" s="70"/>
      <c r="J1188" s="70"/>
      <c r="K1188" s="71"/>
      <c r="L1188" s="71"/>
    </row>
    <row r="1189" spans="6:12" x14ac:dyDescent="0.3">
      <c r="F1189" s="50"/>
      <c r="G1189" s="51"/>
      <c r="H1189" s="49"/>
      <c r="I1189" s="70"/>
      <c r="J1189" s="70"/>
      <c r="K1189" s="71"/>
      <c r="L1189" s="71"/>
    </row>
    <row r="1190" spans="6:12" x14ac:dyDescent="0.3">
      <c r="F1190" s="50"/>
      <c r="G1190" s="51"/>
      <c r="H1190" s="49"/>
      <c r="I1190" s="70"/>
      <c r="J1190" s="70"/>
      <c r="K1190" s="71"/>
      <c r="L1190" s="71"/>
    </row>
    <row r="1191" spans="6:12" x14ac:dyDescent="0.3">
      <c r="F1191" s="50"/>
      <c r="G1191" s="51"/>
      <c r="H1191" s="49"/>
      <c r="I1191" s="70"/>
      <c r="J1191" s="70"/>
      <c r="K1191" s="71"/>
      <c r="L1191" s="71"/>
    </row>
    <row r="1192" spans="6:12" x14ac:dyDescent="0.3">
      <c r="F1192" s="50"/>
      <c r="G1192" s="51"/>
      <c r="H1192" s="49"/>
      <c r="I1192" s="70"/>
      <c r="J1192" s="70"/>
      <c r="K1192" s="71"/>
      <c r="L1192" s="71"/>
    </row>
    <row r="1193" spans="6:12" x14ac:dyDescent="0.3">
      <c r="F1193" s="50"/>
      <c r="G1193" s="51"/>
      <c r="H1193" s="49"/>
      <c r="I1193" s="70"/>
      <c r="J1193" s="70"/>
      <c r="K1193" s="71"/>
      <c r="L1193" s="71"/>
    </row>
    <row r="1194" spans="6:12" x14ac:dyDescent="0.3">
      <c r="F1194" s="50"/>
      <c r="G1194" s="51"/>
      <c r="H1194" s="49"/>
      <c r="I1194" s="70"/>
      <c r="J1194" s="70"/>
      <c r="K1194" s="71"/>
      <c r="L1194" s="71"/>
    </row>
    <row r="1195" spans="6:12" x14ac:dyDescent="0.3">
      <c r="F1195" s="50"/>
      <c r="G1195" s="51"/>
      <c r="H1195" s="49"/>
      <c r="I1195" s="70"/>
      <c r="J1195" s="70"/>
      <c r="K1195" s="71"/>
      <c r="L1195" s="71"/>
    </row>
    <row r="1196" spans="6:12" x14ac:dyDescent="0.3">
      <c r="F1196" s="50"/>
      <c r="G1196" s="51"/>
      <c r="H1196" s="49"/>
      <c r="I1196" s="70"/>
      <c r="J1196" s="70"/>
      <c r="K1196" s="71"/>
      <c r="L1196" s="71"/>
    </row>
    <row r="1197" spans="6:12" x14ac:dyDescent="0.3">
      <c r="F1197" s="50"/>
      <c r="G1197" s="51"/>
      <c r="H1197" s="49"/>
      <c r="I1197" s="70"/>
      <c r="J1197" s="70"/>
      <c r="K1197" s="71"/>
      <c r="L1197" s="71"/>
    </row>
    <row r="1198" spans="6:12" x14ac:dyDescent="0.3">
      <c r="F1198" s="50"/>
      <c r="G1198" s="51"/>
      <c r="H1198" s="49"/>
      <c r="I1198" s="70"/>
      <c r="J1198" s="70"/>
      <c r="K1198" s="71"/>
      <c r="L1198" s="71"/>
    </row>
    <row r="1199" spans="6:12" x14ac:dyDescent="0.3">
      <c r="F1199" s="50"/>
      <c r="G1199" s="51"/>
      <c r="H1199" s="49"/>
      <c r="I1199" s="70"/>
      <c r="J1199" s="70"/>
      <c r="K1199" s="71"/>
      <c r="L1199" s="71"/>
    </row>
    <row r="1200" spans="6:12" x14ac:dyDescent="0.3">
      <c r="F1200" s="50"/>
      <c r="G1200" s="51"/>
      <c r="H1200" s="49"/>
      <c r="I1200" s="70"/>
      <c r="J1200" s="70"/>
      <c r="K1200" s="71"/>
      <c r="L1200" s="71"/>
    </row>
    <row r="1201" spans="6:12" x14ac:dyDescent="0.3">
      <c r="F1201" s="50"/>
      <c r="G1201" s="51"/>
      <c r="H1201" s="49"/>
      <c r="I1201" s="70"/>
      <c r="J1201" s="70"/>
      <c r="K1201" s="71"/>
      <c r="L1201" s="71"/>
    </row>
    <row r="1202" spans="6:12" x14ac:dyDescent="0.3">
      <c r="F1202" s="50"/>
      <c r="G1202" s="51"/>
      <c r="H1202" s="49"/>
      <c r="I1202" s="70"/>
      <c r="J1202" s="70"/>
      <c r="K1202" s="71"/>
      <c r="L1202" s="71"/>
    </row>
    <row r="1203" spans="6:12" x14ac:dyDescent="0.3">
      <c r="F1203" s="50"/>
      <c r="G1203" s="51"/>
      <c r="H1203" s="49"/>
      <c r="I1203" s="70"/>
      <c r="J1203" s="70"/>
      <c r="K1203" s="71"/>
      <c r="L1203" s="71"/>
    </row>
    <row r="1204" spans="6:12" x14ac:dyDescent="0.3">
      <c r="F1204" s="50"/>
      <c r="G1204" s="51"/>
      <c r="H1204" s="49"/>
      <c r="I1204" s="70"/>
      <c r="J1204" s="70"/>
      <c r="K1204" s="71"/>
      <c r="L1204" s="71"/>
    </row>
    <row r="1205" spans="6:12" x14ac:dyDescent="0.3">
      <c r="F1205" s="50"/>
      <c r="G1205" s="51"/>
      <c r="H1205" s="49"/>
      <c r="I1205" s="70"/>
      <c r="J1205" s="70"/>
      <c r="K1205" s="71"/>
      <c r="L1205" s="71"/>
    </row>
    <row r="1206" spans="6:12" x14ac:dyDescent="0.3">
      <c r="F1206" s="50"/>
      <c r="G1206" s="51"/>
      <c r="H1206" s="49"/>
      <c r="I1206" s="70"/>
      <c r="J1206" s="70"/>
      <c r="K1206" s="71"/>
      <c r="L1206" s="71"/>
    </row>
    <row r="1207" spans="6:12" x14ac:dyDescent="0.3">
      <c r="F1207" s="50"/>
      <c r="G1207" s="51"/>
      <c r="H1207" s="49"/>
      <c r="I1207" s="70"/>
      <c r="J1207" s="70"/>
      <c r="K1207" s="71"/>
      <c r="L1207" s="71"/>
    </row>
    <row r="1208" spans="6:12" x14ac:dyDescent="0.3">
      <c r="F1208" s="50"/>
      <c r="G1208" s="51"/>
      <c r="H1208" s="49"/>
      <c r="I1208" s="70"/>
      <c r="J1208" s="70"/>
      <c r="K1208" s="71"/>
      <c r="L1208" s="71"/>
    </row>
    <row r="1209" spans="6:12" x14ac:dyDescent="0.3">
      <c r="F1209" s="50"/>
      <c r="G1209" s="51"/>
      <c r="H1209" s="49"/>
      <c r="I1209" s="70"/>
      <c r="J1209" s="70"/>
      <c r="K1209" s="71"/>
      <c r="L1209" s="71"/>
    </row>
    <row r="1210" spans="6:12" x14ac:dyDescent="0.3">
      <c r="F1210" s="50"/>
      <c r="G1210" s="51"/>
      <c r="H1210" s="49"/>
      <c r="I1210" s="70"/>
      <c r="J1210" s="70"/>
      <c r="K1210" s="71"/>
      <c r="L1210" s="71"/>
    </row>
    <row r="1211" spans="6:12" x14ac:dyDescent="0.3">
      <c r="F1211" s="50"/>
      <c r="G1211" s="51"/>
      <c r="H1211" s="49"/>
      <c r="I1211" s="70"/>
      <c r="J1211" s="70"/>
      <c r="K1211" s="71"/>
      <c r="L1211" s="71"/>
    </row>
    <row r="1212" spans="6:12" x14ac:dyDescent="0.3">
      <c r="F1212" s="50"/>
      <c r="G1212" s="51"/>
      <c r="H1212" s="49"/>
      <c r="I1212" s="70"/>
      <c r="J1212" s="70"/>
      <c r="K1212" s="71"/>
      <c r="L1212" s="71"/>
    </row>
    <row r="1213" spans="6:12" x14ac:dyDescent="0.3">
      <c r="F1213" s="50"/>
      <c r="G1213" s="51"/>
      <c r="H1213" s="49"/>
      <c r="I1213" s="70"/>
      <c r="J1213" s="70"/>
      <c r="K1213" s="71"/>
      <c r="L1213" s="71"/>
    </row>
    <row r="1214" spans="6:12" x14ac:dyDescent="0.3">
      <c r="F1214" s="50"/>
      <c r="G1214" s="51"/>
      <c r="H1214" s="49"/>
      <c r="I1214" s="70"/>
      <c r="J1214" s="70"/>
      <c r="K1214" s="71"/>
      <c r="L1214" s="71"/>
    </row>
    <row r="1215" spans="6:12" x14ac:dyDescent="0.3">
      <c r="F1215" s="50"/>
      <c r="G1215" s="51"/>
      <c r="H1215" s="49"/>
      <c r="I1215" s="70"/>
      <c r="J1215" s="70"/>
      <c r="K1215" s="71"/>
      <c r="L1215" s="71"/>
    </row>
    <row r="1216" spans="6:12" x14ac:dyDescent="0.3">
      <c r="F1216" s="50"/>
      <c r="G1216" s="51"/>
      <c r="H1216" s="49"/>
      <c r="I1216" s="70"/>
      <c r="J1216" s="70"/>
      <c r="K1216" s="71"/>
      <c r="L1216" s="71"/>
    </row>
    <row r="1217" spans="6:12" x14ac:dyDescent="0.3">
      <c r="F1217" s="50"/>
      <c r="G1217" s="51"/>
      <c r="H1217" s="49"/>
      <c r="I1217" s="70"/>
      <c r="J1217" s="70"/>
      <c r="K1217" s="71"/>
      <c r="L1217" s="71"/>
    </row>
    <row r="1218" spans="6:12" x14ac:dyDescent="0.3">
      <c r="F1218" s="50"/>
      <c r="G1218" s="51"/>
      <c r="H1218" s="49"/>
      <c r="I1218" s="70"/>
      <c r="J1218" s="70"/>
      <c r="K1218" s="71"/>
      <c r="L1218" s="71"/>
    </row>
    <row r="1219" spans="6:12" x14ac:dyDescent="0.3">
      <c r="F1219" s="50"/>
      <c r="G1219" s="51"/>
      <c r="H1219" s="49"/>
      <c r="I1219" s="70"/>
      <c r="J1219" s="70"/>
      <c r="K1219" s="71"/>
      <c r="L1219" s="71"/>
    </row>
    <row r="1220" spans="6:12" x14ac:dyDescent="0.3">
      <c r="F1220" s="50"/>
      <c r="G1220" s="51"/>
      <c r="H1220" s="49"/>
      <c r="I1220" s="70"/>
      <c r="J1220" s="70"/>
      <c r="K1220" s="71"/>
      <c r="L1220" s="71"/>
    </row>
    <row r="1221" spans="6:12" x14ac:dyDescent="0.3">
      <c r="F1221" s="50"/>
      <c r="G1221" s="51"/>
      <c r="H1221" s="49"/>
      <c r="I1221" s="70"/>
      <c r="J1221" s="70"/>
      <c r="K1221" s="71"/>
      <c r="L1221" s="71"/>
    </row>
    <row r="1222" spans="6:12" x14ac:dyDescent="0.3">
      <c r="F1222" s="50"/>
      <c r="G1222" s="51"/>
      <c r="H1222" s="49"/>
      <c r="I1222" s="70"/>
      <c r="J1222" s="70"/>
      <c r="K1222" s="71"/>
      <c r="L1222" s="71"/>
    </row>
    <row r="1223" spans="6:12" x14ac:dyDescent="0.3">
      <c r="F1223" s="50"/>
      <c r="G1223" s="51"/>
      <c r="H1223" s="49"/>
      <c r="I1223" s="70"/>
      <c r="J1223" s="70"/>
      <c r="K1223" s="71"/>
      <c r="L1223" s="71"/>
    </row>
    <row r="1224" spans="6:12" x14ac:dyDescent="0.3">
      <c r="F1224" s="50"/>
      <c r="G1224" s="51"/>
      <c r="H1224" s="49"/>
      <c r="I1224" s="70"/>
      <c r="J1224" s="70"/>
      <c r="K1224" s="71"/>
      <c r="L1224" s="71"/>
    </row>
    <row r="1225" spans="6:12" x14ac:dyDescent="0.3">
      <c r="F1225" s="50"/>
      <c r="G1225" s="51"/>
      <c r="H1225" s="49"/>
      <c r="I1225" s="70"/>
      <c r="J1225" s="70"/>
      <c r="K1225" s="71"/>
      <c r="L1225" s="71"/>
    </row>
    <row r="1226" spans="6:12" x14ac:dyDescent="0.3">
      <c r="F1226" s="50"/>
      <c r="G1226" s="51"/>
      <c r="H1226" s="49"/>
      <c r="I1226" s="70"/>
      <c r="J1226" s="70"/>
      <c r="K1226" s="71"/>
      <c r="L1226" s="71"/>
    </row>
    <row r="1227" spans="6:12" x14ac:dyDescent="0.3">
      <c r="F1227" s="50"/>
      <c r="G1227" s="51"/>
      <c r="H1227" s="49"/>
      <c r="I1227" s="70"/>
      <c r="J1227" s="70"/>
      <c r="K1227" s="71"/>
      <c r="L1227" s="71"/>
    </row>
    <row r="1228" spans="6:12" x14ac:dyDescent="0.3">
      <c r="F1228" s="50"/>
      <c r="G1228" s="51"/>
      <c r="H1228" s="49"/>
      <c r="I1228" s="70"/>
      <c r="J1228" s="70"/>
      <c r="K1228" s="71"/>
      <c r="L1228" s="71"/>
    </row>
    <row r="1229" spans="6:12" x14ac:dyDescent="0.3">
      <c r="F1229" s="50"/>
      <c r="G1229" s="51"/>
      <c r="H1229" s="49"/>
      <c r="I1229" s="70"/>
      <c r="J1229" s="70"/>
      <c r="K1229" s="71"/>
      <c r="L1229" s="71"/>
    </row>
    <row r="1230" spans="6:12" x14ac:dyDescent="0.3">
      <c r="F1230" s="50"/>
      <c r="G1230" s="51"/>
      <c r="H1230" s="49"/>
      <c r="I1230" s="70"/>
      <c r="J1230" s="70"/>
      <c r="K1230" s="71"/>
      <c r="L1230" s="71"/>
    </row>
    <row r="1231" spans="6:12" x14ac:dyDescent="0.3">
      <c r="F1231" s="50"/>
      <c r="G1231" s="51"/>
      <c r="H1231" s="49"/>
      <c r="I1231" s="70"/>
      <c r="J1231" s="70"/>
      <c r="K1231" s="71"/>
      <c r="L1231" s="71"/>
    </row>
    <row r="1232" spans="6:12" x14ac:dyDescent="0.3">
      <c r="F1232" s="50"/>
      <c r="G1232" s="51"/>
      <c r="H1232" s="49"/>
      <c r="I1232" s="70"/>
      <c r="J1232" s="70"/>
      <c r="K1232" s="71"/>
      <c r="L1232" s="71"/>
    </row>
    <row r="1233" spans="6:12" x14ac:dyDescent="0.3">
      <c r="F1233" s="50"/>
      <c r="G1233" s="51"/>
      <c r="H1233" s="49"/>
      <c r="I1233" s="70"/>
      <c r="J1233" s="70"/>
      <c r="K1233" s="71"/>
      <c r="L1233" s="71"/>
    </row>
    <row r="1234" spans="6:12" x14ac:dyDescent="0.3">
      <c r="F1234" s="50"/>
      <c r="G1234" s="51"/>
      <c r="H1234" s="49"/>
      <c r="I1234" s="70"/>
      <c r="J1234" s="70"/>
      <c r="K1234" s="71"/>
      <c r="L1234" s="71"/>
    </row>
    <row r="1235" spans="6:12" x14ac:dyDescent="0.3">
      <c r="F1235" s="50"/>
      <c r="G1235" s="51"/>
      <c r="H1235" s="49"/>
      <c r="I1235" s="70"/>
      <c r="J1235" s="70"/>
      <c r="K1235" s="71"/>
      <c r="L1235" s="71"/>
    </row>
    <row r="1236" spans="6:12" x14ac:dyDescent="0.3">
      <c r="F1236" s="50"/>
      <c r="G1236" s="51"/>
      <c r="H1236" s="49"/>
      <c r="I1236" s="70"/>
      <c r="J1236" s="70"/>
      <c r="K1236" s="71"/>
      <c r="L1236" s="71"/>
    </row>
    <row r="1237" spans="6:12" x14ac:dyDescent="0.3">
      <c r="F1237" s="50"/>
      <c r="G1237" s="51"/>
      <c r="H1237" s="49"/>
      <c r="I1237" s="70"/>
      <c r="J1237" s="70"/>
      <c r="K1237" s="71"/>
      <c r="L1237" s="71"/>
    </row>
    <row r="1238" spans="6:12" x14ac:dyDescent="0.3">
      <c r="F1238" s="50"/>
      <c r="G1238" s="51"/>
      <c r="H1238" s="49"/>
      <c r="I1238" s="70"/>
      <c r="J1238" s="70"/>
      <c r="K1238" s="71"/>
      <c r="L1238" s="71"/>
    </row>
    <row r="1239" spans="6:12" x14ac:dyDescent="0.3">
      <c r="F1239" s="50"/>
      <c r="G1239" s="51"/>
      <c r="H1239" s="49"/>
      <c r="I1239" s="70"/>
      <c r="J1239" s="70"/>
      <c r="K1239" s="71"/>
      <c r="L1239" s="71"/>
    </row>
    <row r="1240" spans="6:12" x14ac:dyDescent="0.3">
      <c r="F1240" s="50"/>
      <c r="G1240" s="51"/>
      <c r="H1240" s="49"/>
      <c r="I1240" s="70"/>
      <c r="J1240" s="70"/>
      <c r="K1240" s="71"/>
      <c r="L1240" s="71"/>
    </row>
    <row r="1241" spans="6:12" x14ac:dyDescent="0.3">
      <c r="F1241" s="50"/>
      <c r="G1241" s="51"/>
      <c r="H1241" s="49"/>
      <c r="I1241" s="70"/>
      <c r="J1241" s="70"/>
      <c r="K1241" s="71"/>
      <c r="L1241" s="71"/>
    </row>
    <row r="1242" spans="6:12" x14ac:dyDescent="0.3">
      <c r="F1242" s="50"/>
      <c r="G1242" s="51"/>
      <c r="H1242" s="49"/>
      <c r="I1242" s="70"/>
      <c r="J1242" s="70"/>
      <c r="K1242" s="71"/>
      <c r="L1242" s="71"/>
    </row>
    <row r="1243" spans="6:12" x14ac:dyDescent="0.3">
      <c r="F1243" s="50"/>
      <c r="G1243" s="51"/>
      <c r="H1243" s="49"/>
      <c r="I1243" s="70"/>
      <c r="J1243" s="70"/>
      <c r="K1243" s="71"/>
      <c r="L1243" s="71"/>
    </row>
    <row r="1244" spans="6:12" x14ac:dyDescent="0.3">
      <c r="F1244" s="50"/>
      <c r="G1244" s="51"/>
      <c r="H1244" s="49"/>
      <c r="I1244" s="70"/>
      <c r="J1244" s="70"/>
      <c r="K1244" s="71"/>
      <c r="L1244" s="71"/>
    </row>
    <row r="1245" spans="6:12" x14ac:dyDescent="0.3">
      <c r="F1245" s="50"/>
      <c r="G1245" s="51"/>
      <c r="H1245" s="49"/>
      <c r="I1245" s="70"/>
      <c r="J1245" s="70"/>
      <c r="K1245" s="71"/>
      <c r="L1245" s="71"/>
    </row>
    <row r="1246" spans="6:12" x14ac:dyDescent="0.3">
      <c r="F1246" s="50"/>
      <c r="G1246" s="51"/>
      <c r="H1246" s="49"/>
      <c r="I1246" s="70"/>
      <c r="J1246" s="70"/>
      <c r="K1246" s="71"/>
      <c r="L1246" s="71"/>
    </row>
    <row r="1247" spans="6:12" x14ac:dyDescent="0.3">
      <c r="F1247" s="50"/>
      <c r="G1247" s="51"/>
      <c r="H1247" s="49"/>
      <c r="I1247" s="70"/>
      <c r="J1247" s="70"/>
      <c r="K1247" s="71"/>
      <c r="L1247" s="71"/>
    </row>
    <row r="1248" spans="6:12" x14ac:dyDescent="0.3">
      <c r="F1248" s="50"/>
      <c r="G1248" s="51"/>
      <c r="H1248" s="49"/>
      <c r="I1248" s="70"/>
      <c r="J1248" s="70"/>
      <c r="K1248" s="71"/>
      <c r="L1248" s="71"/>
    </row>
    <row r="1249" spans="6:12" x14ac:dyDescent="0.3">
      <c r="F1249" s="50"/>
      <c r="G1249" s="51"/>
      <c r="H1249" s="49"/>
      <c r="I1249" s="70"/>
      <c r="J1249" s="70"/>
      <c r="K1249" s="71"/>
      <c r="L1249" s="71"/>
    </row>
    <row r="1250" spans="6:12" x14ac:dyDescent="0.3">
      <c r="F1250" s="50"/>
      <c r="G1250" s="51"/>
      <c r="H1250" s="49"/>
      <c r="I1250" s="70"/>
      <c r="J1250" s="70"/>
      <c r="K1250" s="71"/>
      <c r="L1250" s="71"/>
    </row>
    <row r="1251" spans="6:12" x14ac:dyDescent="0.3">
      <c r="F1251" s="50"/>
      <c r="G1251" s="51"/>
      <c r="H1251" s="49"/>
      <c r="I1251" s="70"/>
      <c r="J1251" s="70"/>
      <c r="K1251" s="71"/>
      <c r="L1251" s="71"/>
    </row>
    <row r="1252" spans="6:12" x14ac:dyDescent="0.3">
      <c r="F1252" s="50"/>
      <c r="G1252" s="51"/>
      <c r="H1252" s="49"/>
      <c r="I1252" s="70"/>
      <c r="J1252" s="70"/>
      <c r="K1252" s="71"/>
      <c r="L1252" s="71"/>
    </row>
    <row r="1253" spans="6:12" x14ac:dyDescent="0.3">
      <c r="F1253" s="50"/>
      <c r="G1253" s="51"/>
      <c r="H1253" s="49"/>
      <c r="I1253" s="70"/>
      <c r="J1253" s="70"/>
      <c r="K1253" s="71"/>
      <c r="L1253" s="71"/>
    </row>
    <row r="1254" spans="6:12" x14ac:dyDescent="0.3">
      <c r="F1254" s="50"/>
      <c r="G1254" s="51"/>
      <c r="H1254" s="49"/>
      <c r="I1254" s="70"/>
      <c r="J1254" s="70"/>
      <c r="K1254" s="71"/>
      <c r="L1254" s="71"/>
    </row>
    <row r="1255" spans="6:12" x14ac:dyDescent="0.3">
      <c r="F1255" s="50"/>
      <c r="G1255" s="51"/>
      <c r="H1255" s="49"/>
      <c r="I1255" s="70"/>
      <c r="J1255" s="70"/>
      <c r="K1255" s="71"/>
      <c r="L1255" s="71"/>
    </row>
    <row r="1256" spans="6:12" x14ac:dyDescent="0.3">
      <c r="F1256" s="50"/>
      <c r="G1256" s="51"/>
      <c r="H1256" s="49"/>
      <c r="I1256" s="70"/>
      <c r="J1256" s="70"/>
      <c r="K1256" s="71"/>
      <c r="L1256" s="71"/>
    </row>
    <row r="1257" spans="6:12" x14ac:dyDescent="0.3">
      <c r="F1257" s="50"/>
      <c r="G1257" s="51"/>
      <c r="H1257" s="49"/>
      <c r="I1257" s="70"/>
      <c r="J1257" s="70"/>
      <c r="K1257" s="71"/>
      <c r="L1257" s="71"/>
    </row>
    <row r="1258" spans="6:12" x14ac:dyDescent="0.3">
      <c r="F1258" s="50"/>
      <c r="G1258" s="51"/>
      <c r="H1258" s="49"/>
      <c r="I1258" s="70"/>
      <c r="J1258" s="70"/>
      <c r="K1258" s="71"/>
      <c r="L1258" s="71"/>
    </row>
    <row r="1259" spans="6:12" x14ac:dyDescent="0.3">
      <c r="F1259" s="50"/>
      <c r="G1259" s="51"/>
      <c r="H1259" s="49"/>
      <c r="I1259" s="70"/>
      <c r="J1259" s="70"/>
      <c r="K1259" s="71"/>
      <c r="L1259" s="71"/>
    </row>
    <row r="1260" spans="6:12" x14ac:dyDescent="0.3">
      <c r="F1260" s="50"/>
      <c r="G1260" s="51"/>
      <c r="H1260" s="49"/>
      <c r="I1260" s="70"/>
      <c r="J1260" s="70"/>
      <c r="K1260" s="71"/>
      <c r="L1260" s="71"/>
    </row>
    <row r="1261" spans="6:12" x14ac:dyDescent="0.3">
      <c r="F1261" s="50"/>
      <c r="G1261" s="51"/>
      <c r="H1261" s="49"/>
      <c r="I1261" s="70"/>
      <c r="J1261" s="70"/>
      <c r="K1261" s="71"/>
      <c r="L1261" s="71"/>
    </row>
    <row r="1262" spans="6:12" x14ac:dyDescent="0.3">
      <c r="F1262" s="50"/>
      <c r="G1262" s="51"/>
      <c r="H1262" s="49"/>
      <c r="I1262" s="70"/>
      <c r="J1262" s="70"/>
      <c r="K1262" s="71"/>
      <c r="L1262" s="71"/>
    </row>
    <row r="1263" spans="6:12" x14ac:dyDescent="0.3">
      <c r="F1263" s="50"/>
      <c r="G1263" s="51"/>
      <c r="H1263" s="49"/>
      <c r="I1263" s="70"/>
      <c r="J1263" s="70"/>
      <c r="K1263" s="71"/>
      <c r="L1263" s="71"/>
    </row>
    <row r="1264" spans="6:12" x14ac:dyDescent="0.3">
      <c r="F1264" s="50"/>
      <c r="G1264" s="51"/>
      <c r="H1264" s="49"/>
      <c r="I1264" s="70"/>
      <c r="J1264" s="70"/>
      <c r="K1264" s="71"/>
      <c r="L1264" s="71"/>
    </row>
    <row r="1265" spans="6:12" x14ac:dyDescent="0.3">
      <c r="F1265" s="50"/>
      <c r="G1265" s="51"/>
      <c r="H1265" s="49"/>
      <c r="I1265" s="70"/>
      <c r="J1265" s="70"/>
      <c r="K1265" s="71"/>
      <c r="L1265" s="71"/>
    </row>
    <row r="1266" spans="6:12" x14ac:dyDescent="0.3">
      <c r="F1266" s="50"/>
      <c r="G1266" s="51"/>
      <c r="H1266" s="49"/>
      <c r="I1266" s="70"/>
      <c r="J1266" s="70"/>
      <c r="K1266" s="71"/>
      <c r="L1266" s="71"/>
    </row>
    <row r="1267" spans="6:12" x14ac:dyDescent="0.3">
      <c r="F1267" s="50"/>
      <c r="G1267" s="51"/>
      <c r="H1267" s="49"/>
      <c r="I1267" s="70"/>
      <c r="J1267" s="70"/>
      <c r="K1267" s="71"/>
      <c r="L1267" s="71"/>
    </row>
    <row r="1268" spans="6:12" x14ac:dyDescent="0.3">
      <c r="F1268" s="50"/>
      <c r="G1268" s="51"/>
      <c r="H1268" s="49"/>
      <c r="I1268" s="70"/>
      <c r="J1268" s="70"/>
      <c r="K1268" s="71"/>
      <c r="L1268" s="71"/>
    </row>
    <row r="1269" spans="6:12" x14ac:dyDescent="0.3">
      <c r="F1269" s="50"/>
      <c r="G1269" s="51"/>
      <c r="H1269" s="49"/>
      <c r="I1269" s="70"/>
      <c r="J1269" s="70"/>
      <c r="K1269" s="71"/>
      <c r="L1269" s="71"/>
    </row>
    <row r="1270" spans="6:12" x14ac:dyDescent="0.3">
      <c r="F1270" s="50"/>
      <c r="G1270" s="51"/>
      <c r="H1270" s="49"/>
      <c r="I1270" s="70"/>
      <c r="J1270" s="70"/>
      <c r="K1270" s="71"/>
      <c r="L1270" s="71"/>
    </row>
    <row r="1271" spans="6:12" x14ac:dyDescent="0.3">
      <c r="F1271" s="50"/>
      <c r="G1271" s="51"/>
      <c r="H1271" s="49"/>
      <c r="I1271" s="70"/>
      <c r="J1271" s="70"/>
      <c r="K1271" s="71"/>
      <c r="L1271" s="71"/>
    </row>
    <row r="1272" spans="6:12" x14ac:dyDescent="0.3">
      <c r="F1272" s="50"/>
      <c r="G1272" s="51"/>
      <c r="H1272" s="49"/>
      <c r="I1272" s="70"/>
      <c r="J1272" s="70"/>
      <c r="K1272" s="71"/>
      <c r="L1272" s="71"/>
    </row>
    <row r="1273" spans="6:12" x14ac:dyDescent="0.3">
      <c r="F1273" s="50"/>
      <c r="G1273" s="51"/>
      <c r="H1273" s="49"/>
      <c r="I1273" s="70"/>
      <c r="J1273" s="70"/>
      <c r="K1273" s="71"/>
      <c r="L1273" s="71"/>
    </row>
    <row r="1274" spans="6:12" x14ac:dyDescent="0.3">
      <c r="F1274" s="50"/>
      <c r="G1274" s="51"/>
      <c r="H1274" s="49"/>
      <c r="I1274" s="70"/>
      <c r="J1274" s="70"/>
      <c r="K1274" s="71"/>
      <c r="L1274" s="71"/>
    </row>
    <row r="1275" spans="6:12" x14ac:dyDescent="0.3">
      <c r="F1275" s="50"/>
      <c r="G1275" s="51"/>
      <c r="H1275" s="49"/>
      <c r="I1275" s="70"/>
      <c r="J1275" s="70"/>
      <c r="K1275" s="71"/>
      <c r="L1275" s="71"/>
    </row>
    <row r="1276" spans="6:12" x14ac:dyDescent="0.3">
      <c r="F1276" s="50"/>
      <c r="G1276" s="51"/>
      <c r="H1276" s="49"/>
      <c r="I1276" s="70"/>
      <c r="J1276" s="70"/>
      <c r="K1276" s="71"/>
      <c r="L1276" s="71"/>
    </row>
    <row r="1277" spans="6:12" x14ac:dyDescent="0.3">
      <c r="F1277" s="50"/>
      <c r="G1277" s="51"/>
      <c r="H1277" s="49"/>
      <c r="I1277" s="70"/>
      <c r="J1277" s="70"/>
      <c r="K1277" s="71"/>
      <c r="L1277" s="71"/>
    </row>
    <row r="1278" spans="6:12" x14ac:dyDescent="0.3">
      <c r="F1278" s="50"/>
      <c r="G1278" s="51"/>
      <c r="H1278" s="49"/>
      <c r="I1278" s="70"/>
      <c r="J1278" s="70"/>
      <c r="K1278" s="71"/>
      <c r="L1278" s="71"/>
    </row>
    <row r="1279" spans="6:12" x14ac:dyDescent="0.3">
      <c r="F1279" s="50"/>
      <c r="G1279" s="51"/>
      <c r="H1279" s="49"/>
      <c r="I1279" s="70"/>
      <c r="J1279" s="70"/>
      <c r="K1279" s="71"/>
      <c r="L1279" s="71"/>
    </row>
    <row r="1280" spans="6:12" x14ac:dyDescent="0.3">
      <c r="F1280" s="50"/>
      <c r="G1280" s="51"/>
      <c r="H1280" s="49"/>
      <c r="I1280" s="70"/>
      <c r="J1280" s="70"/>
      <c r="K1280" s="71"/>
      <c r="L1280" s="71"/>
    </row>
    <row r="1281" spans="6:12" x14ac:dyDescent="0.3">
      <c r="F1281" s="50"/>
      <c r="G1281" s="51"/>
      <c r="H1281" s="49"/>
      <c r="I1281" s="70"/>
      <c r="J1281" s="70"/>
      <c r="K1281" s="71"/>
      <c r="L1281" s="71"/>
    </row>
    <row r="1282" spans="6:12" x14ac:dyDescent="0.3">
      <c r="F1282" s="50"/>
      <c r="G1282" s="51"/>
      <c r="H1282" s="49"/>
      <c r="I1282" s="70"/>
      <c r="J1282" s="70"/>
      <c r="K1282" s="71"/>
      <c r="L1282" s="71"/>
    </row>
    <row r="1283" spans="6:12" x14ac:dyDescent="0.3">
      <c r="F1283" s="50"/>
      <c r="G1283" s="51"/>
      <c r="H1283" s="49"/>
      <c r="I1283" s="70"/>
      <c r="J1283" s="70"/>
      <c r="K1283" s="71"/>
      <c r="L1283" s="71"/>
    </row>
    <row r="1284" spans="6:12" x14ac:dyDescent="0.3">
      <c r="F1284" s="50"/>
      <c r="G1284" s="51"/>
      <c r="H1284" s="49"/>
      <c r="I1284" s="70"/>
      <c r="J1284" s="70"/>
      <c r="K1284" s="71"/>
      <c r="L1284" s="71"/>
    </row>
    <row r="1285" spans="6:12" x14ac:dyDescent="0.3">
      <c r="F1285" s="50"/>
      <c r="G1285" s="51"/>
      <c r="H1285" s="49"/>
      <c r="I1285" s="70"/>
      <c r="J1285" s="70"/>
      <c r="K1285" s="71"/>
      <c r="L1285" s="71"/>
    </row>
    <row r="1286" spans="6:12" x14ac:dyDescent="0.3">
      <c r="F1286" s="50"/>
      <c r="G1286" s="51"/>
      <c r="H1286" s="49"/>
      <c r="I1286" s="70"/>
      <c r="J1286" s="70"/>
      <c r="K1286" s="71"/>
      <c r="L1286" s="71"/>
    </row>
    <row r="1287" spans="6:12" x14ac:dyDescent="0.3">
      <c r="F1287" s="50"/>
      <c r="G1287" s="51"/>
      <c r="H1287" s="49"/>
      <c r="I1287" s="70"/>
      <c r="J1287" s="70"/>
      <c r="K1287" s="71"/>
      <c r="L1287" s="71"/>
    </row>
    <row r="1288" spans="6:12" x14ac:dyDescent="0.3">
      <c r="F1288" s="50"/>
      <c r="G1288" s="51"/>
      <c r="H1288" s="49"/>
      <c r="I1288" s="70"/>
      <c r="J1288" s="70"/>
      <c r="K1288" s="71"/>
      <c r="L1288" s="71"/>
    </row>
    <row r="1289" spans="6:12" x14ac:dyDescent="0.3">
      <c r="F1289" s="50"/>
      <c r="G1289" s="51"/>
      <c r="H1289" s="49"/>
      <c r="I1289" s="70"/>
      <c r="J1289" s="70"/>
      <c r="K1289" s="71"/>
      <c r="L1289" s="71"/>
    </row>
    <row r="1290" spans="6:12" x14ac:dyDescent="0.3">
      <c r="F1290" s="50"/>
      <c r="G1290" s="51"/>
      <c r="H1290" s="49"/>
      <c r="I1290" s="70"/>
      <c r="J1290" s="70"/>
      <c r="K1290" s="71"/>
      <c r="L1290" s="71"/>
    </row>
    <row r="1291" spans="6:12" x14ac:dyDescent="0.3">
      <c r="F1291" s="50"/>
      <c r="G1291" s="51"/>
      <c r="H1291" s="49"/>
      <c r="I1291" s="70"/>
      <c r="J1291" s="70"/>
      <c r="K1291" s="71"/>
      <c r="L1291" s="71"/>
    </row>
    <row r="1292" spans="6:12" x14ac:dyDescent="0.3">
      <c r="F1292" s="50"/>
      <c r="G1292" s="51"/>
      <c r="H1292" s="49"/>
      <c r="I1292" s="70"/>
      <c r="J1292" s="70"/>
      <c r="K1292" s="71"/>
      <c r="L1292" s="71"/>
    </row>
    <row r="1293" spans="6:12" x14ac:dyDescent="0.3">
      <c r="F1293" s="50"/>
      <c r="G1293" s="51"/>
      <c r="H1293" s="49"/>
      <c r="I1293" s="70"/>
      <c r="J1293" s="70"/>
      <c r="K1293" s="71"/>
      <c r="L1293" s="71"/>
    </row>
    <row r="1294" spans="6:12" x14ac:dyDescent="0.3">
      <c r="F1294" s="50"/>
      <c r="G1294" s="51"/>
      <c r="H1294" s="49"/>
      <c r="I1294" s="70"/>
      <c r="J1294" s="70"/>
      <c r="K1294" s="71"/>
      <c r="L1294" s="71"/>
    </row>
    <row r="1295" spans="6:12" x14ac:dyDescent="0.3">
      <c r="F1295" s="50"/>
      <c r="G1295" s="51"/>
      <c r="H1295" s="49"/>
      <c r="I1295" s="70"/>
      <c r="J1295" s="70"/>
      <c r="K1295" s="71"/>
      <c r="L1295" s="71"/>
    </row>
    <row r="1296" spans="6:12" x14ac:dyDescent="0.3">
      <c r="F1296" s="50"/>
      <c r="G1296" s="51"/>
      <c r="H1296" s="49"/>
      <c r="I1296" s="70"/>
      <c r="J1296" s="70"/>
      <c r="K1296" s="71"/>
      <c r="L1296" s="71"/>
    </row>
    <row r="1297" spans="6:12" x14ac:dyDescent="0.3">
      <c r="F1297" s="50"/>
      <c r="G1297" s="51"/>
      <c r="H1297" s="49"/>
      <c r="I1297" s="70"/>
      <c r="J1297" s="70"/>
      <c r="K1297" s="71"/>
      <c r="L1297" s="71"/>
    </row>
    <row r="1298" spans="6:12" x14ac:dyDescent="0.3">
      <c r="F1298" s="50"/>
      <c r="G1298" s="51"/>
      <c r="H1298" s="49"/>
      <c r="I1298" s="70"/>
      <c r="J1298" s="70"/>
      <c r="K1298" s="71"/>
      <c r="L1298" s="71"/>
    </row>
    <row r="1299" spans="6:12" x14ac:dyDescent="0.3">
      <c r="F1299" s="50"/>
      <c r="G1299" s="51"/>
      <c r="H1299" s="49"/>
      <c r="I1299" s="70"/>
      <c r="J1299" s="70"/>
      <c r="K1299" s="71"/>
      <c r="L1299" s="71"/>
    </row>
    <row r="1300" spans="6:12" x14ac:dyDescent="0.3">
      <c r="F1300" s="50"/>
      <c r="G1300" s="51"/>
      <c r="H1300" s="49"/>
      <c r="I1300" s="70"/>
      <c r="J1300" s="70"/>
      <c r="K1300" s="71"/>
      <c r="L1300" s="71"/>
    </row>
    <row r="1301" spans="6:12" x14ac:dyDescent="0.3">
      <c r="F1301" s="50"/>
      <c r="G1301" s="51"/>
      <c r="H1301" s="49"/>
      <c r="I1301" s="70"/>
      <c r="J1301" s="70"/>
      <c r="K1301" s="71"/>
      <c r="L1301" s="71"/>
    </row>
    <row r="1302" spans="6:12" x14ac:dyDescent="0.3">
      <c r="F1302" s="50"/>
      <c r="G1302" s="51"/>
      <c r="H1302" s="49"/>
      <c r="I1302" s="70"/>
      <c r="J1302" s="70"/>
      <c r="K1302" s="71"/>
      <c r="L1302" s="71"/>
    </row>
    <row r="1303" spans="6:12" x14ac:dyDescent="0.3">
      <c r="F1303" s="50"/>
      <c r="G1303" s="51"/>
      <c r="H1303" s="49"/>
      <c r="I1303" s="70"/>
      <c r="J1303" s="70"/>
      <c r="K1303" s="71"/>
      <c r="L1303" s="71"/>
    </row>
    <row r="1304" spans="6:12" x14ac:dyDescent="0.3">
      <c r="F1304" s="50"/>
      <c r="G1304" s="51"/>
      <c r="H1304" s="49"/>
      <c r="I1304" s="70"/>
      <c r="J1304" s="70"/>
      <c r="K1304" s="71"/>
      <c r="L1304" s="71"/>
    </row>
    <row r="1305" spans="6:12" x14ac:dyDescent="0.3">
      <c r="F1305" s="50"/>
      <c r="G1305" s="51"/>
      <c r="H1305" s="49"/>
      <c r="I1305" s="70"/>
      <c r="J1305" s="70"/>
      <c r="K1305" s="71"/>
      <c r="L1305" s="71"/>
    </row>
    <row r="1306" spans="6:12" x14ac:dyDescent="0.3">
      <c r="F1306" s="50"/>
      <c r="G1306" s="51"/>
      <c r="H1306" s="49"/>
      <c r="I1306" s="70"/>
      <c r="J1306" s="70"/>
      <c r="K1306" s="71"/>
      <c r="L1306" s="71"/>
    </row>
    <row r="1307" spans="6:12" x14ac:dyDescent="0.3">
      <c r="F1307" s="50"/>
      <c r="G1307" s="51"/>
      <c r="H1307" s="49"/>
      <c r="I1307" s="70"/>
      <c r="J1307" s="70"/>
      <c r="K1307" s="71"/>
      <c r="L1307" s="71"/>
    </row>
    <row r="1308" spans="6:12" x14ac:dyDescent="0.3">
      <c r="F1308" s="50"/>
      <c r="G1308" s="51"/>
      <c r="H1308" s="49"/>
      <c r="I1308" s="70"/>
      <c r="J1308" s="70"/>
      <c r="K1308" s="71"/>
      <c r="L1308" s="71"/>
    </row>
    <row r="1309" spans="6:12" x14ac:dyDescent="0.3">
      <c r="F1309" s="50"/>
      <c r="G1309" s="51"/>
      <c r="H1309" s="49"/>
      <c r="I1309" s="70"/>
      <c r="J1309" s="70"/>
      <c r="K1309" s="71"/>
      <c r="L1309" s="71"/>
    </row>
    <row r="1310" spans="6:12" x14ac:dyDescent="0.3">
      <c r="I1310" s="71"/>
      <c r="J1310" s="71"/>
      <c r="K1310" s="71"/>
      <c r="L1310" s="71"/>
    </row>
    <row r="1311" spans="6:12" x14ac:dyDescent="0.3">
      <c r="I1311" s="71"/>
      <c r="J1311" s="71"/>
      <c r="K1311" s="71"/>
      <c r="L1311" s="71"/>
    </row>
    <row r="1312" spans="6:12" x14ac:dyDescent="0.3">
      <c r="I1312" s="71"/>
      <c r="J1312" s="71"/>
      <c r="K1312" s="71"/>
      <c r="L1312" s="71"/>
    </row>
    <row r="1313" spans="9:12" x14ac:dyDescent="0.3">
      <c r="I1313" s="71"/>
      <c r="J1313" s="71"/>
      <c r="K1313" s="71"/>
      <c r="L1313" s="71"/>
    </row>
    <row r="1314" spans="9:12" x14ac:dyDescent="0.3">
      <c r="I1314" s="71"/>
      <c r="J1314" s="71"/>
      <c r="K1314" s="71"/>
      <c r="L1314" s="71"/>
    </row>
    <row r="1315" spans="9:12" x14ac:dyDescent="0.3">
      <c r="I1315" s="71"/>
      <c r="J1315" s="71"/>
      <c r="K1315" s="71"/>
      <c r="L1315" s="71"/>
    </row>
    <row r="1316" spans="9:12" x14ac:dyDescent="0.3">
      <c r="I1316" s="71"/>
      <c r="J1316" s="71"/>
      <c r="K1316" s="71"/>
      <c r="L1316" s="71"/>
    </row>
    <row r="1317" spans="9:12" x14ac:dyDescent="0.3">
      <c r="I1317" s="71"/>
      <c r="J1317" s="71"/>
      <c r="K1317" s="71"/>
      <c r="L1317" s="71"/>
    </row>
    <row r="1318" spans="9:12" x14ac:dyDescent="0.3">
      <c r="I1318" s="71"/>
      <c r="J1318" s="71"/>
      <c r="K1318" s="71"/>
      <c r="L1318" s="71"/>
    </row>
    <row r="1319" spans="9:12" x14ac:dyDescent="0.3">
      <c r="I1319" s="71"/>
      <c r="J1319" s="71"/>
      <c r="K1319" s="71"/>
      <c r="L1319" s="71"/>
    </row>
    <row r="1320" spans="9:12" x14ac:dyDescent="0.3">
      <c r="I1320" s="71"/>
      <c r="J1320" s="71"/>
      <c r="K1320" s="71"/>
      <c r="L1320" s="71"/>
    </row>
    <row r="1321" spans="9:12" x14ac:dyDescent="0.3">
      <c r="I1321" s="71"/>
      <c r="J1321" s="71"/>
      <c r="K1321" s="71"/>
      <c r="L1321" s="71"/>
    </row>
    <row r="1322" spans="9:12" x14ac:dyDescent="0.3">
      <c r="I1322" s="71"/>
      <c r="J1322" s="71"/>
      <c r="K1322" s="71"/>
      <c r="L1322" s="71"/>
    </row>
    <row r="1323" spans="9:12" x14ac:dyDescent="0.3">
      <c r="I1323" s="71"/>
      <c r="J1323" s="71"/>
      <c r="K1323" s="71"/>
      <c r="L1323" s="71"/>
    </row>
    <row r="1324" spans="9:12" x14ac:dyDescent="0.3">
      <c r="I1324" s="71"/>
      <c r="J1324" s="71"/>
      <c r="K1324" s="71"/>
      <c r="L1324" s="71"/>
    </row>
    <row r="1325" spans="9:12" x14ac:dyDescent="0.3">
      <c r="I1325" s="71"/>
      <c r="J1325" s="71"/>
      <c r="K1325" s="71"/>
      <c r="L1325" s="71"/>
    </row>
    <row r="1326" spans="9:12" x14ac:dyDescent="0.3">
      <c r="I1326" s="71"/>
      <c r="J1326" s="71"/>
      <c r="K1326" s="71"/>
      <c r="L1326" s="71"/>
    </row>
    <row r="1327" spans="9:12" x14ac:dyDescent="0.3">
      <c r="I1327" s="71"/>
      <c r="J1327" s="71"/>
      <c r="K1327" s="71"/>
      <c r="L1327" s="71"/>
    </row>
    <row r="1328" spans="9:12" x14ac:dyDescent="0.3">
      <c r="I1328" s="71"/>
      <c r="J1328" s="71"/>
      <c r="K1328" s="71"/>
      <c r="L1328" s="71"/>
    </row>
    <row r="1329" spans="9:12" x14ac:dyDescent="0.3">
      <c r="I1329" s="71"/>
      <c r="J1329" s="71"/>
      <c r="K1329" s="71"/>
      <c r="L1329" s="71"/>
    </row>
    <row r="1330" spans="9:12" x14ac:dyDescent="0.3">
      <c r="I1330" s="71"/>
      <c r="J1330" s="71"/>
      <c r="K1330" s="71"/>
      <c r="L1330" s="71"/>
    </row>
    <row r="1331" spans="9:12" x14ac:dyDescent="0.3">
      <c r="I1331" s="71"/>
      <c r="J1331" s="71"/>
      <c r="K1331" s="71"/>
      <c r="L1331" s="71"/>
    </row>
    <row r="1332" spans="9:12" x14ac:dyDescent="0.3">
      <c r="I1332" s="71"/>
      <c r="J1332" s="71"/>
      <c r="K1332" s="71"/>
      <c r="L1332" s="71"/>
    </row>
    <row r="1333" spans="9:12" x14ac:dyDescent="0.3">
      <c r="I1333" s="71"/>
      <c r="J1333" s="71"/>
      <c r="K1333" s="71"/>
      <c r="L1333" s="71"/>
    </row>
    <row r="1334" spans="9:12" x14ac:dyDescent="0.3">
      <c r="I1334" s="71"/>
      <c r="J1334" s="71"/>
      <c r="K1334" s="71"/>
      <c r="L1334" s="71"/>
    </row>
    <row r="1335" spans="9:12" x14ac:dyDescent="0.3">
      <c r="I1335" s="71"/>
      <c r="J1335" s="71"/>
      <c r="K1335" s="71"/>
      <c r="L1335" s="71"/>
    </row>
    <row r="1336" spans="9:12" x14ac:dyDescent="0.3">
      <c r="I1336" s="71"/>
      <c r="J1336" s="71"/>
      <c r="K1336" s="71"/>
      <c r="L1336" s="71"/>
    </row>
    <row r="1337" spans="9:12" x14ac:dyDescent="0.3">
      <c r="I1337" s="71"/>
      <c r="J1337" s="71"/>
      <c r="K1337" s="71"/>
      <c r="L1337" s="71"/>
    </row>
    <row r="1338" spans="9:12" x14ac:dyDescent="0.3">
      <c r="I1338" s="71"/>
      <c r="J1338" s="71"/>
      <c r="K1338" s="71"/>
      <c r="L1338" s="71"/>
    </row>
    <row r="1339" spans="9:12" x14ac:dyDescent="0.3">
      <c r="I1339" s="71"/>
      <c r="J1339" s="71"/>
      <c r="K1339" s="71"/>
      <c r="L1339" s="71"/>
    </row>
    <row r="1340" spans="9:12" x14ac:dyDescent="0.3">
      <c r="I1340" s="71"/>
      <c r="J1340" s="71"/>
      <c r="K1340" s="71"/>
      <c r="L1340" s="71"/>
    </row>
    <row r="1341" spans="9:12" x14ac:dyDescent="0.3">
      <c r="I1341" s="71"/>
      <c r="J1341" s="71"/>
      <c r="K1341" s="71"/>
      <c r="L1341" s="71"/>
    </row>
    <row r="1342" spans="9:12" x14ac:dyDescent="0.3">
      <c r="I1342" s="71"/>
      <c r="J1342" s="71"/>
      <c r="K1342" s="71"/>
      <c r="L1342" s="71"/>
    </row>
    <row r="1343" spans="9:12" x14ac:dyDescent="0.3">
      <c r="I1343" s="71"/>
      <c r="J1343" s="71"/>
      <c r="K1343" s="71"/>
      <c r="L1343" s="71"/>
    </row>
    <row r="1344" spans="9:12" x14ac:dyDescent="0.3">
      <c r="I1344" s="71"/>
      <c r="J1344" s="71"/>
      <c r="K1344" s="71"/>
      <c r="L1344" s="71"/>
    </row>
    <row r="1345" spans="9:12" x14ac:dyDescent="0.3">
      <c r="I1345" s="71"/>
      <c r="J1345" s="71"/>
      <c r="K1345" s="71"/>
      <c r="L1345" s="71"/>
    </row>
    <row r="1346" spans="9:12" x14ac:dyDescent="0.3">
      <c r="I1346" s="71"/>
      <c r="J1346" s="71"/>
      <c r="K1346" s="71"/>
      <c r="L1346" s="71"/>
    </row>
    <row r="1347" spans="9:12" x14ac:dyDescent="0.3">
      <c r="I1347" s="71"/>
      <c r="J1347" s="71"/>
      <c r="K1347" s="71"/>
      <c r="L1347" s="71"/>
    </row>
    <row r="1348" spans="9:12" x14ac:dyDescent="0.3">
      <c r="I1348" s="71"/>
      <c r="J1348" s="71"/>
      <c r="K1348" s="71"/>
      <c r="L1348" s="71"/>
    </row>
    <row r="1349" spans="9:12" x14ac:dyDescent="0.3">
      <c r="I1349" s="71"/>
      <c r="J1349" s="71"/>
      <c r="K1349" s="71"/>
      <c r="L1349" s="71"/>
    </row>
    <row r="1350" spans="9:12" x14ac:dyDescent="0.3">
      <c r="I1350" s="71"/>
      <c r="J1350" s="71"/>
      <c r="K1350" s="71"/>
      <c r="L1350" s="71"/>
    </row>
    <row r="1351" spans="9:12" x14ac:dyDescent="0.3">
      <c r="I1351" s="71"/>
      <c r="J1351" s="71"/>
      <c r="K1351" s="71"/>
      <c r="L1351" s="71"/>
    </row>
    <row r="1352" spans="9:12" x14ac:dyDescent="0.3">
      <c r="I1352" s="71"/>
      <c r="J1352" s="71"/>
      <c r="K1352" s="71"/>
      <c r="L1352" s="71"/>
    </row>
    <row r="1353" spans="9:12" x14ac:dyDescent="0.3">
      <c r="I1353" s="71"/>
      <c r="J1353" s="71"/>
      <c r="K1353" s="71"/>
      <c r="L1353" s="71"/>
    </row>
    <row r="1354" spans="9:12" x14ac:dyDescent="0.3">
      <c r="I1354" s="71"/>
      <c r="J1354" s="71"/>
      <c r="K1354" s="71"/>
      <c r="L1354" s="71"/>
    </row>
    <row r="1355" spans="9:12" x14ac:dyDescent="0.3">
      <c r="I1355" s="71"/>
      <c r="J1355" s="71"/>
      <c r="K1355" s="71"/>
      <c r="L1355" s="71"/>
    </row>
    <row r="1356" spans="9:12" x14ac:dyDescent="0.3">
      <c r="I1356" s="71"/>
      <c r="J1356" s="71"/>
      <c r="K1356" s="71"/>
      <c r="L1356" s="71"/>
    </row>
    <row r="1357" spans="9:12" x14ac:dyDescent="0.3">
      <c r="I1357" s="71"/>
      <c r="J1357" s="71"/>
      <c r="K1357" s="71"/>
      <c r="L1357" s="71"/>
    </row>
    <row r="1358" spans="9:12" x14ac:dyDescent="0.3">
      <c r="I1358" s="71"/>
      <c r="J1358" s="71"/>
      <c r="K1358" s="71"/>
      <c r="L1358" s="71"/>
    </row>
    <row r="1359" spans="9:12" x14ac:dyDescent="0.3">
      <c r="I1359" s="71"/>
      <c r="J1359" s="71"/>
      <c r="K1359" s="71"/>
      <c r="L1359" s="71"/>
    </row>
    <row r="1360" spans="9:12" x14ac:dyDescent="0.3">
      <c r="I1360" s="71"/>
      <c r="J1360" s="71"/>
      <c r="K1360" s="71"/>
      <c r="L1360" s="71"/>
    </row>
    <row r="1361" spans="9:12" x14ac:dyDescent="0.3">
      <c r="I1361" s="71"/>
      <c r="J1361" s="71"/>
      <c r="K1361" s="71"/>
      <c r="L1361" s="71"/>
    </row>
    <row r="1362" spans="9:12" x14ac:dyDescent="0.3">
      <c r="I1362" s="71"/>
      <c r="J1362" s="71"/>
      <c r="K1362" s="71"/>
      <c r="L1362" s="71"/>
    </row>
    <row r="1363" spans="9:12" x14ac:dyDescent="0.3">
      <c r="I1363" s="71"/>
      <c r="J1363" s="71"/>
      <c r="K1363" s="71"/>
      <c r="L1363" s="71"/>
    </row>
    <row r="1364" spans="9:12" x14ac:dyDescent="0.3">
      <c r="I1364" s="71"/>
      <c r="J1364" s="71"/>
      <c r="K1364" s="71"/>
      <c r="L1364" s="71"/>
    </row>
    <row r="1365" spans="9:12" x14ac:dyDescent="0.3">
      <c r="I1365" s="71"/>
      <c r="J1365" s="71"/>
      <c r="K1365" s="71"/>
      <c r="L1365" s="71"/>
    </row>
    <row r="1366" spans="9:12" x14ac:dyDescent="0.3">
      <c r="I1366" s="71"/>
      <c r="J1366" s="71"/>
      <c r="K1366" s="71"/>
      <c r="L1366" s="71"/>
    </row>
    <row r="1367" spans="9:12" x14ac:dyDescent="0.3">
      <c r="I1367" s="71"/>
      <c r="J1367" s="71"/>
      <c r="K1367" s="71"/>
      <c r="L1367" s="71"/>
    </row>
    <row r="1368" spans="9:12" x14ac:dyDescent="0.3">
      <c r="I1368" s="71"/>
      <c r="J1368" s="71"/>
      <c r="K1368" s="71"/>
      <c r="L1368" s="71"/>
    </row>
    <row r="1369" spans="9:12" x14ac:dyDescent="0.3">
      <c r="I1369" s="71"/>
      <c r="J1369" s="71"/>
      <c r="K1369" s="71"/>
      <c r="L1369" s="71"/>
    </row>
    <row r="1370" spans="9:12" x14ac:dyDescent="0.3">
      <c r="I1370" s="71"/>
      <c r="J1370" s="71"/>
      <c r="K1370" s="71"/>
      <c r="L1370" s="71"/>
    </row>
    <row r="1371" spans="9:12" x14ac:dyDescent="0.3">
      <c r="I1371" s="71"/>
      <c r="J1371" s="71"/>
      <c r="K1371" s="71"/>
      <c r="L1371" s="71"/>
    </row>
    <row r="1372" spans="9:12" x14ac:dyDescent="0.3">
      <c r="I1372" s="71"/>
      <c r="J1372" s="71"/>
      <c r="K1372" s="71"/>
      <c r="L1372" s="71"/>
    </row>
    <row r="1373" spans="9:12" x14ac:dyDescent="0.3">
      <c r="I1373" s="71"/>
      <c r="J1373" s="71"/>
      <c r="K1373" s="71"/>
      <c r="L1373" s="71"/>
    </row>
    <row r="1374" spans="9:12" x14ac:dyDescent="0.3">
      <c r="I1374" s="71"/>
      <c r="J1374" s="71"/>
      <c r="K1374" s="71"/>
      <c r="L1374" s="71"/>
    </row>
    <row r="1375" spans="9:12" x14ac:dyDescent="0.3">
      <c r="I1375" s="71"/>
      <c r="J1375" s="71"/>
      <c r="K1375" s="71"/>
      <c r="L1375" s="71"/>
    </row>
    <row r="1376" spans="9:12" x14ac:dyDescent="0.3">
      <c r="I1376" s="71"/>
      <c r="J1376" s="71"/>
      <c r="K1376" s="71"/>
      <c r="L1376" s="71"/>
    </row>
    <row r="1377" spans="9:12" x14ac:dyDescent="0.3">
      <c r="I1377" s="71"/>
      <c r="J1377" s="71"/>
      <c r="K1377" s="71"/>
      <c r="L1377" s="71"/>
    </row>
    <row r="1378" spans="9:12" x14ac:dyDescent="0.3">
      <c r="I1378" s="71"/>
      <c r="J1378" s="71"/>
      <c r="K1378" s="71"/>
      <c r="L1378" s="71"/>
    </row>
    <row r="1379" spans="9:12" x14ac:dyDescent="0.3">
      <c r="I1379" s="71"/>
      <c r="J1379" s="71"/>
      <c r="K1379" s="71"/>
      <c r="L1379" s="71"/>
    </row>
    <row r="1380" spans="9:12" x14ac:dyDescent="0.3">
      <c r="I1380" s="71"/>
      <c r="J1380" s="71"/>
      <c r="K1380" s="71"/>
      <c r="L1380" s="71"/>
    </row>
    <row r="1381" spans="9:12" x14ac:dyDescent="0.3">
      <c r="I1381" s="71"/>
      <c r="J1381" s="71"/>
      <c r="K1381" s="71"/>
      <c r="L1381" s="71"/>
    </row>
    <row r="1382" spans="9:12" x14ac:dyDescent="0.3">
      <c r="I1382" s="71"/>
      <c r="J1382" s="71"/>
      <c r="K1382" s="71"/>
      <c r="L1382" s="71"/>
    </row>
    <row r="1383" spans="9:12" x14ac:dyDescent="0.3">
      <c r="I1383" s="71"/>
      <c r="J1383" s="71"/>
      <c r="K1383" s="71"/>
      <c r="L1383" s="71"/>
    </row>
    <row r="1384" spans="9:12" x14ac:dyDescent="0.3">
      <c r="I1384" s="71"/>
      <c r="J1384" s="71"/>
      <c r="K1384" s="71"/>
      <c r="L1384" s="71"/>
    </row>
    <row r="1385" spans="9:12" x14ac:dyDescent="0.3">
      <c r="I1385" s="71"/>
      <c r="J1385" s="71"/>
      <c r="K1385" s="71"/>
      <c r="L1385" s="71"/>
    </row>
    <row r="1386" spans="9:12" x14ac:dyDescent="0.3">
      <c r="I1386" s="71"/>
      <c r="J1386" s="71"/>
      <c r="K1386" s="71"/>
      <c r="L1386" s="71"/>
    </row>
    <row r="1387" spans="9:12" x14ac:dyDescent="0.3">
      <c r="I1387" s="71"/>
      <c r="J1387" s="71"/>
      <c r="K1387" s="71"/>
      <c r="L1387" s="71"/>
    </row>
    <row r="1388" spans="9:12" x14ac:dyDescent="0.3">
      <c r="I1388" s="71"/>
      <c r="J1388" s="71"/>
      <c r="K1388" s="71"/>
      <c r="L1388" s="71"/>
    </row>
    <row r="1389" spans="9:12" x14ac:dyDescent="0.3">
      <c r="I1389" s="71"/>
      <c r="J1389" s="71"/>
      <c r="K1389" s="71"/>
      <c r="L1389" s="71"/>
    </row>
    <row r="1390" spans="9:12" x14ac:dyDescent="0.3">
      <c r="I1390" s="71"/>
      <c r="J1390" s="71"/>
      <c r="K1390" s="71"/>
      <c r="L1390" s="71"/>
    </row>
    <row r="1391" spans="9:12" x14ac:dyDescent="0.3">
      <c r="I1391" s="71"/>
      <c r="J1391" s="71"/>
      <c r="K1391" s="71"/>
      <c r="L1391" s="71"/>
    </row>
    <row r="1392" spans="9:12" x14ac:dyDescent="0.3">
      <c r="I1392" s="71"/>
      <c r="J1392" s="71"/>
      <c r="K1392" s="71"/>
      <c r="L1392" s="71"/>
    </row>
    <row r="1393" spans="9:12" x14ac:dyDescent="0.3">
      <c r="I1393" s="71"/>
      <c r="J1393" s="71"/>
      <c r="K1393" s="71"/>
      <c r="L1393" s="71"/>
    </row>
    <row r="1394" spans="9:12" x14ac:dyDescent="0.3">
      <c r="I1394" s="71"/>
      <c r="J1394" s="71"/>
      <c r="K1394" s="71"/>
      <c r="L1394" s="71"/>
    </row>
    <row r="1395" spans="9:12" x14ac:dyDescent="0.3">
      <c r="I1395" s="71"/>
      <c r="J1395" s="71"/>
      <c r="K1395" s="71"/>
      <c r="L1395" s="71"/>
    </row>
    <row r="1396" spans="9:12" x14ac:dyDescent="0.3">
      <c r="I1396" s="71"/>
      <c r="J1396" s="71"/>
      <c r="K1396" s="71"/>
      <c r="L1396" s="71"/>
    </row>
    <row r="1397" spans="9:12" x14ac:dyDescent="0.3">
      <c r="I1397" s="71"/>
      <c r="J1397" s="71"/>
      <c r="K1397" s="71"/>
      <c r="L1397" s="71"/>
    </row>
    <row r="1398" spans="9:12" x14ac:dyDescent="0.3">
      <c r="I1398" s="71"/>
      <c r="J1398" s="71"/>
      <c r="K1398" s="71"/>
      <c r="L1398" s="71"/>
    </row>
    <row r="1399" spans="9:12" x14ac:dyDescent="0.3">
      <c r="I1399" s="71"/>
      <c r="J1399" s="71"/>
      <c r="K1399" s="71"/>
      <c r="L1399" s="71"/>
    </row>
    <row r="1400" spans="9:12" x14ac:dyDescent="0.3">
      <c r="I1400" s="71"/>
      <c r="J1400" s="71"/>
      <c r="K1400" s="71"/>
      <c r="L1400" s="71"/>
    </row>
    <row r="1401" spans="9:12" x14ac:dyDescent="0.3">
      <c r="I1401" s="71"/>
      <c r="J1401" s="71"/>
      <c r="K1401" s="71"/>
      <c r="L1401" s="71"/>
    </row>
    <row r="1402" spans="9:12" x14ac:dyDescent="0.3">
      <c r="I1402" s="71"/>
      <c r="J1402" s="71"/>
      <c r="K1402" s="71"/>
      <c r="L1402" s="71"/>
    </row>
    <row r="1403" spans="9:12" x14ac:dyDescent="0.3">
      <c r="I1403" s="71"/>
      <c r="J1403" s="71"/>
      <c r="K1403" s="71"/>
      <c r="L1403" s="71"/>
    </row>
    <row r="1404" spans="9:12" x14ac:dyDescent="0.3">
      <c r="I1404" s="71"/>
      <c r="J1404" s="71"/>
      <c r="K1404" s="71"/>
      <c r="L1404" s="71"/>
    </row>
    <row r="1405" spans="9:12" x14ac:dyDescent="0.3">
      <c r="I1405" s="71"/>
      <c r="J1405" s="71"/>
      <c r="K1405" s="71"/>
      <c r="L1405" s="71"/>
    </row>
    <row r="1406" spans="9:12" x14ac:dyDescent="0.3">
      <c r="I1406" s="71"/>
      <c r="J1406" s="71"/>
      <c r="K1406" s="71"/>
      <c r="L1406" s="71"/>
    </row>
    <row r="1407" spans="9:12" x14ac:dyDescent="0.3">
      <c r="I1407" s="71"/>
      <c r="J1407" s="71"/>
      <c r="K1407" s="71"/>
      <c r="L1407" s="71"/>
    </row>
    <row r="1408" spans="9:12" x14ac:dyDescent="0.3">
      <c r="I1408" s="71"/>
      <c r="J1408" s="71"/>
      <c r="K1408" s="71"/>
      <c r="L1408" s="71"/>
    </row>
    <row r="1409" spans="9:12" x14ac:dyDescent="0.3">
      <c r="I1409" s="71"/>
      <c r="J1409" s="71"/>
      <c r="K1409" s="71"/>
      <c r="L1409" s="71"/>
    </row>
    <row r="1410" spans="9:12" x14ac:dyDescent="0.3">
      <c r="I1410" s="71"/>
      <c r="J1410" s="71"/>
      <c r="K1410" s="71"/>
      <c r="L1410" s="71"/>
    </row>
    <row r="1411" spans="9:12" x14ac:dyDescent="0.3">
      <c r="I1411" s="71"/>
      <c r="J1411" s="71"/>
      <c r="K1411" s="71"/>
      <c r="L1411" s="71"/>
    </row>
    <row r="1412" spans="9:12" x14ac:dyDescent="0.3">
      <c r="I1412" s="71"/>
      <c r="J1412" s="71"/>
      <c r="K1412" s="71"/>
      <c r="L1412" s="71"/>
    </row>
    <row r="1413" spans="9:12" x14ac:dyDescent="0.3">
      <c r="I1413" s="71"/>
      <c r="J1413" s="71"/>
      <c r="K1413" s="71"/>
      <c r="L1413" s="71"/>
    </row>
    <row r="1414" spans="9:12" x14ac:dyDescent="0.3">
      <c r="I1414" s="71"/>
      <c r="J1414" s="71"/>
      <c r="K1414" s="71"/>
      <c r="L1414" s="71"/>
    </row>
    <row r="1415" spans="9:12" x14ac:dyDescent="0.3">
      <c r="I1415" s="71"/>
      <c r="J1415" s="71"/>
      <c r="K1415" s="71"/>
      <c r="L1415" s="71"/>
    </row>
    <row r="1416" spans="9:12" x14ac:dyDescent="0.3">
      <c r="I1416" s="71"/>
      <c r="J1416" s="71"/>
      <c r="K1416" s="71"/>
      <c r="L1416" s="71"/>
    </row>
    <row r="1417" spans="9:12" x14ac:dyDescent="0.3">
      <c r="I1417" s="71"/>
      <c r="J1417" s="71"/>
      <c r="K1417" s="71"/>
      <c r="L1417" s="71"/>
    </row>
    <row r="1418" spans="9:12" x14ac:dyDescent="0.3">
      <c r="I1418" s="71"/>
      <c r="J1418" s="71"/>
      <c r="K1418" s="71"/>
      <c r="L1418" s="71"/>
    </row>
    <row r="1419" spans="9:12" x14ac:dyDescent="0.3">
      <c r="I1419" s="71"/>
      <c r="J1419" s="71"/>
      <c r="K1419" s="71"/>
      <c r="L1419" s="71"/>
    </row>
    <row r="1420" spans="9:12" x14ac:dyDescent="0.3">
      <c r="I1420" s="71"/>
      <c r="J1420" s="71"/>
      <c r="K1420" s="71"/>
      <c r="L1420" s="71"/>
    </row>
    <row r="1421" spans="9:12" x14ac:dyDescent="0.3">
      <c r="I1421" s="71"/>
      <c r="J1421" s="71"/>
      <c r="K1421" s="71"/>
      <c r="L1421" s="71"/>
    </row>
    <row r="1422" spans="9:12" x14ac:dyDescent="0.3">
      <c r="I1422" s="71"/>
      <c r="J1422" s="71"/>
      <c r="K1422" s="71"/>
      <c r="L1422" s="71"/>
    </row>
    <row r="1423" spans="9:12" x14ac:dyDescent="0.3">
      <c r="I1423" s="71"/>
      <c r="J1423" s="71"/>
      <c r="K1423" s="71"/>
      <c r="L1423" s="71"/>
    </row>
    <row r="1424" spans="9:12" x14ac:dyDescent="0.3">
      <c r="I1424" s="71"/>
      <c r="J1424" s="71"/>
      <c r="K1424" s="71"/>
      <c r="L1424" s="71"/>
    </row>
    <row r="1425" spans="9:12" x14ac:dyDescent="0.3">
      <c r="I1425" s="71"/>
      <c r="J1425" s="71"/>
      <c r="K1425" s="71"/>
      <c r="L1425" s="71"/>
    </row>
    <row r="1426" spans="9:12" x14ac:dyDescent="0.3">
      <c r="I1426" s="71"/>
      <c r="J1426" s="71"/>
      <c r="K1426" s="71"/>
      <c r="L1426" s="71"/>
    </row>
    <row r="1427" spans="9:12" x14ac:dyDescent="0.3">
      <c r="I1427" s="71"/>
      <c r="J1427" s="71"/>
      <c r="K1427" s="71"/>
      <c r="L1427" s="71"/>
    </row>
    <row r="1428" spans="9:12" x14ac:dyDescent="0.3">
      <c r="I1428" s="71"/>
      <c r="J1428" s="71"/>
      <c r="K1428" s="71"/>
      <c r="L1428" s="71"/>
    </row>
    <row r="1429" spans="9:12" x14ac:dyDescent="0.3">
      <c r="I1429" s="71"/>
      <c r="J1429" s="71"/>
      <c r="K1429" s="71"/>
      <c r="L1429" s="71"/>
    </row>
    <row r="1430" spans="9:12" x14ac:dyDescent="0.3">
      <c r="I1430" s="71"/>
      <c r="J1430" s="71"/>
      <c r="K1430" s="71"/>
      <c r="L1430" s="71"/>
    </row>
    <row r="1431" spans="9:12" x14ac:dyDescent="0.3">
      <c r="I1431" s="71"/>
      <c r="J1431" s="71"/>
      <c r="K1431" s="71"/>
      <c r="L1431" s="71"/>
    </row>
    <row r="1432" spans="9:12" x14ac:dyDescent="0.3">
      <c r="I1432" s="71"/>
      <c r="J1432" s="71"/>
      <c r="K1432" s="71"/>
      <c r="L1432" s="71"/>
    </row>
    <row r="1433" spans="9:12" x14ac:dyDescent="0.3">
      <c r="I1433" s="71"/>
      <c r="J1433" s="71"/>
      <c r="K1433" s="71"/>
      <c r="L1433" s="71"/>
    </row>
    <row r="1434" spans="9:12" x14ac:dyDescent="0.3">
      <c r="I1434" s="71"/>
      <c r="J1434" s="71"/>
      <c r="K1434" s="71"/>
      <c r="L1434" s="71"/>
    </row>
    <row r="1435" spans="9:12" x14ac:dyDescent="0.3">
      <c r="I1435" s="71"/>
      <c r="J1435" s="71"/>
      <c r="K1435" s="71"/>
      <c r="L1435" s="71"/>
    </row>
    <row r="1436" spans="9:12" x14ac:dyDescent="0.3">
      <c r="I1436" s="71"/>
      <c r="J1436" s="71"/>
      <c r="K1436" s="71"/>
      <c r="L1436" s="71"/>
    </row>
    <row r="1437" spans="9:12" x14ac:dyDescent="0.3">
      <c r="I1437" s="71"/>
      <c r="J1437" s="71"/>
      <c r="K1437" s="71"/>
      <c r="L1437" s="71"/>
    </row>
    <row r="1438" spans="9:12" x14ac:dyDescent="0.3">
      <c r="I1438" s="71"/>
      <c r="J1438" s="71"/>
      <c r="K1438" s="71"/>
      <c r="L1438" s="71"/>
    </row>
    <row r="1439" spans="9:12" x14ac:dyDescent="0.3">
      <c r="I1439" s="71"/>
      <c r="J1439" s="71"/>
      <c r="K1439" s="71"/>
      <c r="L1439" s="71"/>
    </row>
    <row r="1440" spans="9:12" x14ac:dyDescent="0.3">
      <c r="I1440" s="71"/>
      <c r="J1440" s="71"/>
      <c r="K1440" s="71"/>
      <c r="L1440" s="71"/>
    </row>
    <row r="1441" spans="9:12" x14ac:dyDescent="0.3">
      <c r="I1441" s="71"/>
      <c r="J1441" s="71"/>
      <c r="K1441" s="71"/>
      <c r="L1441" s="71"/>
    </row>
    <row r="1442" spans="9:12" x14ac:dyDescent="0.3">
      <c r="I1442" s="71"/>
      <c r="J1442" s="71"/>
      <c r="K1442" s="71"/>
      <c r="L1442" s="71"/>
    </row>
    <row r="1443" spans="9:12" x14ac:dyDescent="0.3">
      <c r="I1443" s="71"/>
      <c r="J1443" s="71"/>
      <c r="K1443" s="71"/>
      <c r="L1443" s="71"/>
    </row>
    <row r="1444" spans="9:12" x14ac:dyDescent="0.3">
      <c r="I1444" s="71"/>
      <c r="J1444" s="71"/>
      <c r="K1444" s="71"/>
      <c r="L1444" s="71"/>
    </row>
    <row r="1445" spans="9:12" x14ac:dyDescent="0.3">
      <c r="I1445" s="71"/>
      <c r="J1445" s="71"/>
      <c r="K1445" s="71"/>
      <c r="L1445" s="71"/>
    </row>
    <row r="1446" spans="9:12" x14ac:dyDescent="0.3">
      <c r="I1446" s="71"/>
      <c r="J1446" s="71"/>
      <c r="K1446" s="71"/>
      <c r="L1446" s="71"/>
    </row>
    <row r="1447" spans="9:12" x14ac:dyDescent="0.3">
      <c r="I1447" s="71"/>
      <c r="J1447" s="71"/>
      <c r="K1447" s="71"/>
      <c r="L1447" s="71"/>
    </row>
    <row r="1448" spans="9:12" x14ac:dyDescent="0.3">
      <c r="I1448" s="71"/>
      <c r="J1448" s="71"/>
      <c r="K1448" s="71"/>
      <c r="L1448" s="71"/>
    </row>
    <row r="1449" spans="9:12" x14ac:dyDescent="0.3">
      <c r="I1449" s="71"/>
      <c r="J1449" s="71"/>
      <c r="K1449" s="71"/>
      <c r="L1449" s="71"/>
    </row>
    <row r="1450" spans="9:12" x14ac:dyDescent="0.3">
      <c r="I1450" s="71"/>
      <c r="J1450" s="71"/>
      <c r="K1450" s="71"/>
      <c r="L1450" s="71"/>
    </row>
    <row r="1451" spans="9:12" x14ac:dyDescent="0.3">
      <c r="I1451" s="71"/>
      <c r="J1451" s="71"/>
      <c r="K1451" s="71"/>
      <c r="L1451" s="71"/>
    </row>
    <row r="1452" spans="9:12" x14ac:dyDescent="0.3">
      <c r="I1452" s="71"/>
      <c r="J1452" s="71"/>
      <c r="K1452" s="71"/>
      <c r="L1452" s="71"/>
    </row>
    <row r="1453" spans="9:12" x14ac:dyDescent="0.3">
      <c r="I1453" s="71"/>
      <c r="J1453" s="71"/>
      <c r="K1453" s="71"/>
      <c r="L1453" s="71"/>
    </row>
    <row r="1454" spans="9:12" x14ac:dyDescent="0.3">
      <c r="I1454" s="71"/>
      <c r="J1454" s="71"/>
      <c r="K1454" s="71"/>
      <c r="L1454" s="71"/>
    </row>
    <row r="1455" spans="9:12" x14ac:dyDescent="0.3">
      <c r="I1455" s="71"/>
      <c r="J1455" s="71"/>
      <c r="K1455" s="71"/>
      <c r="L1455" s="71"/>
    </row>
    <row r="1456" spans="9:12" x14ac:dyDescent="0.3">
      <c r="I1456" s="71"/>
      <c r="J1456" s="71"/>
      <c r="K1456" s="71"/>
      <c r="L1456" s="71"/>
    </row>
    <row r="1457" spans="9:12" x14ac:dyDescent="0.3">
      <c r="I1457" s="71"/>
      <c r="J1457" s="71"/>
      <c r="K1457" s="71"/>
      <c r="L1457" s="71"/>
    </row>
    <row r="1458" spans="9:12" x14ac:dyDescent="0.3">
      <c r="I1458" s="71"/>
      <c r="J1458" s="71"/>
      <c r="K1458" s="71"/>
      <c r="L1458" s="71"/>
    </row>
    <row r="1459" spans="9:12" x14ac:dyDescent="0.3">
      <c r="I1459" s="71"/>
      <c r="J1459" s="71"/>
      <c r="K1459" s="71"/>
      <c r="L1459" s="71"/>
    </row>
    <row r="1460" spans="9:12" x14ac:dyDescent="0.3">
      <c r="I1460" s="71"/>
      <c r="J1460" s="71"/>
      <c r="K1460" s="71"/>
      <c r="L1460" s="71"/>
    </row>
    <row r="1461" spans="9:12" x14ac:dyDescent="0.3">
      <c r="I1461" s="71"/>
      <c r="J1461" s="71"/>
      <c r="K1461" s="71"/>
      <c r="L1461" s="71"/>
    </row>
    <row r="1462" spans="9:12" x14ac:dyDescent="0.3">
      <c r="I1462" s="71"/>
      <c r="J1462" s="71"/>
      <c r="K1462" s="71"/>
      <c r="L1462" s="71"/>
    </row>
    <row r="1463" spans="9:12" x14ac:dyDescent="0.3">
      <c r="I1463" s="71"/>
      <c r="J1463" s="71"/>
      <c r="K1463" s="71"/>
      <c r="L1463" s="71"/>
    </row>
    <row r="1464" spans="9:12" x14ac:dyDescent="0.3">
      <c r="I1464" s="71"/>
      <c r="J1464" s="71"/>
      <c r="K1464" s="71"/>
      <c r="L1464" s="71"/>
    </row>
    <row r="1465" spans="9:12" x14ac:dyDescent="0.3">
      <c r="I1465" s="71"/>
      <c r="J1465" s="71"/>
      <c r="K1465" s="71"/>
      <c r="L1465" s="71"/>
    </row>
    <row r="1466" spans="9:12" x14ac:dyDescent="0.3">
      <c r="I1466" s="71"/>
      <c r="J1466" s="71"/>
      <c r="K1466" s="71"/>
      <c r="L1466" s="71"/>
    </row>
    <row r="1467" spans="9:12" x14ac:dyDescent="0.3">
      <c r="I1467" s="71"/>
      <c r="J1467" s="71"/>
      <c r="K1467" s="71"/>
      <c r="L1467" s="71"/>
    </row>
    <row r="1468" spans="9:12" x14ac:dyDescent="0.3">
      <c r="I1468" s="71"/>
      <c r="J1468" s="71"/>
      <c r="K1468" s="71"/>
      <c r="L1468" s="71"/>
    </row>
    <row r="1469" spans="9:12" x14ac:dyDescent="0.3">
      <c r="I1469" s="71"/>
      <c r="J1469" s="71"/>
      <c r="K1469" s="71"/>
      <c r="L1469" s="71"/>
    </row>
    <row r="1470" spans="9:12" x14ac:dyDescent="0.3">
      <c r="I1470" s="71"/>
      <c r="J1470" s="71"/>
      <c r="K1470" s="71"/>
      <c r="L1470" s="71"/>
    </row>
    <row r="1471" spans="9:12" x14ac:dyDescent="0.3">
      <c r="I1471" s="71"/>
      <c r="J1471" s="71"/>
      <c r="K1471" s="71"/>
      <c r="L1471" s="71"/>
    </row>
    <row r="1472" spans="9:12" x14ac:dyDescent="0.3">
      <c r="I1472" s="71"/>
      <c r="J1472" s="71"/>
      <c r="K1472" s="71"/>
      <c r="L1472" s="71"/>
    </row>
    <row r="1473" spans="9:12" x14ac:dyDescent="0.3">
      <c r="I1473" s="71"/>
      <c r="J1473" s="71"/>
      <c r="K1473" s="71"/>
      <c r="L1473" s="71"/>
    </row>
    <row r="1474" spans="9:12" x14ac:dyDescent="0.3">
      <c r="I1474" s="71"/>
      <c r="J1474" s="71"/>
      <c r="K1474" s="71"/>
      <c r="L1474" s="71"/>
    </row>
    <row r="1475" spans="9:12" x14ac:dyDescent="0.3">
      <c r="I1475" s="71"/>
      <c r="J1475" s="71"/>
      <c r="K1475" s="71"/>
      <c r="L1475" s="71"/>
    </row>
    <row r="1476" spans="9:12" x14ac:dyDescent="0.3">
      <c r="I1476" s="71"/>
      <c r="J1476" s="71"/>
      <c r="K1476" s="71"/>
      <c r="L1476" s="71"/>
    </row>
    <row r="1477" spans="9:12" x14ac:dyDescent="0.3">
      <c r="I1477" s="71"/>
      <c r="J1477" s="71"/>
      <c r="K1477" s="71"/>
      <c r="L1477" s="71"/>
    </row>
    <row r="1478" spans="9:12" x14ac:dyDescent="0.3">
      <c r="I1478" s="71"/>
      <c r="J1478" s="71"/>
      <c r="K1478" s="71"/>
      <c r="L1478" s="71"/>
    </row>
    <row r="1479" spans="9:12" x14ac:dyDescent="0.3">
      <c r="I1479" s="71"/>
      <c r="J1479" s="71"/>
      <c r="K1479" s="71"/>
      <c r="L1479" s="71"/>
    </row>
    <row r="1480" spans="9:12" x14ac:dyDescent="0.3">
      <c r="I1480" s="71"/>
      <c r="J1480" s="71"/>
      <c r="K1480" s="71"/>
      <c r="L1480" s="71"/>
    </row>
    <row r="1481" spans="9:12" x14ac:dyDescent="0.3">
      <c r="I1481" s="71"/>
      <c r="J1481" s="71"/>
      <c r="K1481" s="71"/>
      <c r="L1481" s="71"/>
    </row>
    <row r="1482" spans="9:12" x14ac:dyDescent="0.3">
      <c r="I1482" s="71"/>
      <c r="J1482" s="71"/>
      <c r="K1482" s="71"/>
      <c r="L1482" s="71"/>
    </row>
    <row r="1483" spans="9:12" x14ac:dyDescent="0.3">
      <c r="I1483" s="71"/>
      <c r="J1483" s="71"/>
      <c r="K1483" s="71"/>
      <c r="L1483" s="71"/>
    </row>
    <row r="1484" spans="9:12" x14ac:dyDescent="0.3">
      <c r="I1484" s="71"/>
      <c r="J1484" s="71"/>
      <c r="K1484" s="71"/>
      <c r="L1484" s="71"/>
    </row>
    <row r="1485" spans="9:12" x14ac:dyDescent="0.3">
      <c r="I1485" s="71"/>
      <c r="J1485" s="71"/>
      <c r="K1485" s="71"/>
      <c r="L1485" s="71"/>
    </row>
    <row r="1486" spans="9:12" x14ac:dyDescent="0.3">
      <c r="I1486" s="71"/>
      <c r="J1486" s="71"/>
      <c r="K1486" s="71"/>
      <c r="L1486" s="71"/>
    </row>
    <row r="1487" spans="9:12" x14ac:dyDescent="0.3">
      <c r="I1487" s="71"/>
      <c r="J1487" s="71"/>
      <c r="K1487" s="71"/>
      <c r="L1487" s="71"/>
    </row>
    <row r="1488" spans="9:12" x14ac:dyDescent="0.3">
      <c r="I1488" s="71"/>
      <c r="J1488" s="71"/>
      <c r="K1488" s="71"/>
      <c r="L1488" s="71"/>
    </row>
    <row r="1489" spans="9:12" x14ac:dyDescent="0.3">
      <c r="I1489" s="71"/>
      <c r="J1489" s="71"/>
      <c r="K1489" s="71"/>
      <c r="L1489" s="71"/>
    </row>
    <row r="1490" spans="9:12" x14ac:dyDescent="0.3">
      <c r="I1490" s="71"/>
      <c r="J1490" s="71"/>
      <c r="K1490" s="71"/>
      <c r="L1490" s="71"/>
    </row>
    <row r="1491" spans="9:12" x14ac:dyDescent="0.3">
      <c r="I1491" s="71"/>
      <c r="J1491" s="71"/>
      <c r="K1491" s="71"/>
      <c r="L1491" s="71"/>
    </row>
    <row r="1492" spans="9:12" x14ac:dyDescent="0.3">
      <c r="I1492" s="71"/>
      <c r="J1492" s="71"/>
      <c r="K1492" s="71"/>
      <c r="L1492" s="71"/>
    </row>
    <row r="1493" spans="9:12" x14ac:dyDescent="0.3">
      <c r="I1493" s="71"/>
      <c r="J1493" s="71"/>
      <c r="K1493" s="71"/>
      <c r="L1493" s="71"/>
    </row>
    <row r="1494" spans="9:12" x14ac:dyDescent="0.3">
      <c r="I1494" s="71"/>
      <c r="J1494" s="71"/>
      <c r="K1494" s="71"/>
      <c r="L1494" s="71"/>
    </row>
    <row r="1495" spans="9:12" x14ac:dyDescent="0.3">
      <c r="I1495" s="71"/>
      <c r="J1495" s="71"/>
      <c r="K1495" s="71"/>
      <c r="L1495" s="71"/>
    </row>
    <row r="1496" spans="9:12" x14ac:dyDescent="0.3">
      <c r="I1496" s="71"/>
      <c r="J1496" s="71"/>
      <c r="K1496" s="71"/>
      <c r="L1496" s="71"/>
    </row>
    <row r="1497" spans="9:12" x14ac:dyDescent="0.3">
      <c r="I1497" s="71"/>
      <c r="J1497" s="71"/>
      <c r="K1497" s="71"/>
      <c r="L1497" s="71"/>
    </row>
    <row r="1498" spans="9:12" x14ac:dyDescent="0.3">
      <c r="I1498" s="71"/>
      <c r="J1498" s="71"/>
      <c r="K1498" s="71"/>
      <c r="L1498" s="71"/>
    </row>
    <row r="1499" spans="9:12" x14ac:dyDescent="0.3">
      <c r="I1499" s="71"/>
      <c r="J1499" s="71"/>
      <c r="K1499" s="71"/>
      <c r="L1499" s="71"/>
    </row>
    <row r="1500" spans="9:12" x14ac:dyDescent="0.3">
      <c r="I1500" s="71"/>
      <c r="J1500" s="71"/>
      <c r="K1500" s="71"/>
      <c r="L1500" s="71"/>
    </row>
    <row r="1501" spans="9:12" x14ac:dyDescent="0.3">
      <c r="I1501" s="71"/>
      <c r="J1501" s="71"/>
      <c r="K1501" s="71"/>
      <c r="L1501" s="71"/>
    </row>
    <row r="1502" spans="9:12" x14ac:dyDescent="0.3">
      <c r="I1502" s="71"/>
      <c r="J1502" s="71"/>
      <c r="K1502" s="71"/>
      <c r="L1502" s="71"/>
    </row>
    <row r="1503" spans="9:12" x14ac:dyDescent="0.3">
      <c r="I1503" s="71"/>
      <c r="J1503" s="71"/>
      <c r="K1503" s="71"/>
      <c r="L1503" s="71"/>
    </row>
    <row r="1504" spans="9:12" x14ac:dyDescent="0.3">
      <c r="I1504" s="71"/>
      <c r="J1504" s="71"/>
      <c r="K1504" s="71"/>
      <c r="L1504" s="71"/>
    </row>
    <row r="1505" spans="9:12" x14ac:dyDescent="0.3">
      <c r="I1505" s="71"/>
      <c r="J1505" s="71"/>
      <c r="K1505" s="71"/>
      <c r="L1505" s="71"/>
    </row>
    <row r="1506" spans="9:12" x14ac:dyDescent="0.3">
      <c r="I1506" s="71"/>
      <c r="J1506" s="71"/>
      <c r="K1506" s="71"/>
      <c r="L1506" s="71"/>
    </row>
    <row r="1507" spans="9:12" x14ac:dyDescent="0.3">
      <c r="I1507" s="71"/>
      <c r="J1507" s="71"/>
      <c r="K1507" s="71"/>
      <c r="L1507" s="71"/>
    </row>
    <row r="1508" spans="9:12" x14ac:dyDescent="0.3">
      <c r="I1508" s="71"/>
      <c r="J1508" s="71"/>
      <c r="K1508" s="71"/>
      <c r="L1508" s="71"/>
    </row>
    <row r="1509" spans="9:12" x14ac:dyDescent="0.3">
      <c r="I1509" s="71"/>
      <c r="J1509" s="71"/>
      <c r="K1509" s="71"/>
      <c r="L1509" s="71"/>
    </row>
    <row r="1510" spans="9:12" x14ac:dyDescent="0.3">
      <c r="I1510" s="71"/>
      <c r="J1510" s="71"/>
      <c r="K1510" s="71"/>
      <c r="L1510" s="71"/>
    </row>
    <row r="1511" spans="9:12" x14ac:dyDescent="0.3">
      <c r="I1511" s="71"/>
      <c r="J1511" s="71"/>
      <c r="K1511" s="71"/>
      <c r="L1511" s="71"/>
    </row>
    <row r="1512" spans="9:12" x14ac:dyDescent="0.3">
      <c r="I1512" s="71"/>
      <c r="J1512" s="71"/>
      <c r="K1512" s="71"/>
      <c r="L1512" s="71"/>
    </row>
    <row r="1513" spans="9:12" x14ac:dyDescent="0.3">
      <c r="I1513" s="71"/>
      <c r="J1513" s="71"/>
      <c r="K1513" s="71"/>
      <c r="L1513" s="71"/>
    </row>
    <row r="1514" spans="9:12" x14ac:dyDescent="0.3">
      <c r="I1514" s="71"/>
      <c r="J1514" s="71"/>
      <c r="K1514" s="71"/>
      <c r="L1514" s="71"/>
    </row>
    <row r="1515" spans="9:12" x14ac:dyDescent="0.3">
      <c r="I1515" s="71"/>
      <c r="J1515" s="71"/>
      <c r="K1515" s="71"/>
      <c r="L1515" s="71"/>
    </row>
    <row r="1516" spans="9:12" x14ac:dyDescent="0.3">
      <c r="I1516" s="71"/>
      <c r="J1516" s="71"/>
      <c r="K1516" s="71"/>
      <c r="L1516" s="71"/>
    </row>
    <row r="1517" spans="9:12" x14ac:dyDescent="0.3">
      <c r="I1517" s="71"/>
      <c r="J1517" s="71"/>
      <c r="K1517" s="71"/>
      <c r="L1517" s="71"/>
    </row>
    <row r="1518" spans="9:12" x14ac:dyDescent="0.3">
      <c r="I1518" s="71"/>
      <c r="J1518" s="71"/>
      <c r="K1518" s="71"/>
      <c r="L1518" s="71"/>
    </row>
    <row r="1519" spans="9:12" x14ac:dyDescent="0.3">
      <c r="I1519" s="71"/>
      <c r="J1519" s="71"/>
      <c r="K1519" s="71"/>
      <c r="L1519" s="71"/>
    </row>
    <row r="1520" spans="9:12" x14ac:dyDescent="0.3">
      <c r="I1520" s="71"/>
      <c r="J1520" s="71"/>
      <c r="K1520" s="71"/>
      <c r="L1520" s="71"/>
    </row>
    <row r="1521" spans="9:12" x14ac:dyDescent="0.3">
      <c r="I1521" s="71"/>
      <c r="J1521" s="71"/>
      <c r="K1521" s="71"/>
      <c r="L1521" s="71"/>
    </row>
    <row r="1522" spans="9:12" x14ac:dyDescent="0.3">
      <c r="I1522" s="71"/>
      <c r="J1522" s="71"/>
      <c r="K1522" s="71"/>
      <c r="L1522" s="71"/>
    </row>
    <row r="1523" spans="9:12" x14ac:dyDescent="0.3">
      <c r="I1523" s="71"/>
      <c r="J1523" s="71"/>
      <c r="K1523" s="71"/>
      <c r="L1523" s="71"/>
    </row>
    <row r="1524" spans="9:12" x14ac:dyDescent="0.3">
      <c r="I1524" s="71"/>
      <c r="J1524" s="71"/>
      <c r="K1524" s="71"/>
      <c r="L1524" s="71"/>
    </row>
    <row r="1525" spans="9:12" x14ac:dyDescent="0.3">
      <c r="I1525" s="71"/>
      <c r="J1525" s="71"/>
      <c r="K1525" s="71"/>
      <c r="L1525" s="71"/>
    </row>
    <row r="1526" spans="9:12" x14ac:dyDescent="0.3">
      <c r="I1526" s="71"/>
      <c r="J1526" s="71"/>
      <c r="K1526" s="71"/>
      <c r="L1526" s="71"/>
    </row>
    <row r="1527" spans="9:12" x14ac:dyDescent="0.3">
      <c r="I1527" s="71"/>
      <c r="J1527" s="71"/>
      <c r="K1527" s="71"/>
      <c r="L1527" s="71"/>
    </row>
    <row r="1528" spans="9:12" x14ac:dyDescent="0.3">
      <c r="I1528" s="71"/>
      <c r="J1528" s="71"/>
      <c r="K1528" s="71"/>
      <c r="L1528" s="71"/>
    </row>
    <row r="1529" spans="9:12" x14ac:dyDescent="0.3">
      <c r="I1529" s="71"/>
      <c r="J1529" s="71"/>
      <c r="K1529" s="71"/>
      <c r="L1529" s="71"/>
    </row>
    <row r="1530" spans="9:12" x14ac:dyDescent="0.3">
      <c r="I1530" s="71"/>
      <c r="J1530" s="71"/>
      <c r="K1530" s="71"/>
      <c r="L1530" s="71"/>
    </row>
    <row r="1531" spans="9:12" x14ac:dyDescent="0.3">
      <c r="I1531" s="71"/>
      <c r="J1531" s="71"/>
      <c r="K1531" s="71"/>
      <c r="L1531" s="71"/>
    </row>
    <row r="1532" spans="9:12" x14ac:dyDescent="0.3">
      <c r="I1532" s="71"/>
      <c r="J1532" s="71"/>
      <c r="K1532" s="71"/>
      <c r="L1532" s="71"/>
    </row>
    <row r="1533" spans="9:12" x14ac:dyDescent="0.3">
      <c r="I1533" s="71"/>
      <c r="J1533" s="71"/>
      <c r="K1533" s="71"/>
      <c r="L1533" s="71"/>
    </row>
    <row r="1534" spans="9:12" x14ac:dyDescent="0.3">
      <c r="I1534" s="71"/>
      <c r="J1534" s="71"/>
      <c r="K1534" s="71"/>
      <c r="L1534" s="71"/>
    </row>
    <row r="1535" spans="9:12" x14ac:dyDescent="0.3">
      <c r="I1535" s="71"/>
      <c r="J1535" s="71"/>
      <c r="K1535" s="71"/>
      <c r="L1535" s="71"/>
    </row>
    <row r="1536" spans="9:12" x14ac:dyDescent="0.3">
      <c r="I1536" s="71"/>
      <c r="J1536" s="71"/>
      <c r="K1536" s="71"/>
      <c r="L1536" s="71"/>
    </row>
    <row r="1537" spans="9:12" x14ac:dyDescent="0.3">
      <c r="I1537" s="71"/>
      <c r="J1537" s="71"/>
      <c r="K1537" s="71"/>
      <c r="L1537" s="71"/>
    </row>
    <row r="1538" spans="9:12" x14ac:dyDescent="0.3">
      <c r="I1538" s="71"/>
      <c r="J1538" s="71"/>
      <c r="K1538" s="71"/>
      <c r="L1538" s="71"/>
    </row>
    <row r="1539" spans="9:12" x14ac:dyDescent="0.3">
      <c r="I1539" s="71"/>
      <c r="J1539" s="71"/>
      <c r="K1539" s="71"/>
      <c r="L1539" s="71"/>
    </row>
    <row r="1540" spans="9:12" x14ac:dyDescent="0.3">
      <c r="I1540" s="71"/>
      <c r="J1540" s="71"/>
      <c r="K1540" s="71"/>
      <c r="L1540" s="71"/>
    </row>
    <row r="1541" spans="9:12" x14ac:dyDescent="0.3">
      <c r="I1541" s="71"/>
      <c r="J1541" s="71"/>
      <c r="K1541" s="71"/>
      <c r="L1541" s="71"/>
    </row>
    <row r="1542" spans="9:12" x14ac:dyDescent="0.3">
      <c r="I1542" s="71"/>
      <c r="J1542" s="71"/>
      <c r="K1542" s="71"/>
      <c r="L1542" s="71"/>
    </row>
    <row r="1543" spans="9:12" x14ac:dyDescent="0.3">
      <c r="I1543" s="71"/>
      <c r="J1543" s="71"/>
      <c r="K1543" s="71"/>
      <c r="L1543" s="71"/>
    </row>
    <row r="1544" spans="9:12" x14ac:dyDescent="0.3">
      <c r="I1544" s="71"/>
      <c r="J1544" s="71"/>
      <c r="K1544" s="71"/>
      <c r="L1544" s="71"/>
    </row>
    <row r="1545" spans="9:12" x14ac:dyDescent="0.3">
      <c r="I1545" s="71"/>
      <c r="J1545" s="71"/>
      <c r="K1545" s="71"/>
      <c r="L1545" s="71"/>
    </row>
    <row r="1546" spans="9:12" x14ac:dyDescent="0.3">
      <c r="I1546" s="71"/>
      <c r="J1546" s="71"/>
      <c r="K1546" s="71"/>
      <c r="L1546" s="71"/>
    </row>
    <row r="1547" spans="9:12" x14ac:dyDescent="0.3">
      <c r="I1547" s="71"/>
      <c r="J1547" s="71"/>
      <c r="K1547" s="71"/>
      <c r="L1547" s="71"/>
    </row>
    <row r="1548" spans="9:12" x14ac:dyDescent="0.3">
      <c r="I1548" s="71"/>
      <c r="J1548" s="71"/>
      <c r="K1548" s="71"/>
      <c r="L1548" s="71"/>
    </row>
    <row r="1549" spans="9:12" x14ac:dyDescent="0.3">
      <c r="I1549" s="71"/>
      <c r="J1549" s="71"/>
      <c r="K1549" s="71"/>
      <c r="L1549" s="71"/>
    </row>
    <row r="1550" spans="9:12" x14ac:dyDescent="0.3">
      <c r="I1550" s="71"/>
      <c r="J1550" s="71"/>
      <c r="K1550" s="71"/>
      <c r="L1550" s="71"/>
    </row>
    <row r="1551" spans="9:12" x14ac:dyDescent="0.3">
      <c r="I1551" s="71"/>
      <c r="J1551" s="71"/>
      <c r="K1551" s="71"/>
      <c r="L1551" s="71"/>
    </row>
    <row r="1552" spans="9:12" x14ac:dyDescent="0.3">
      <c r="I1552" s="71"/>
      <c r="J1552" s="71"/>
      <c r="K1552" s="71"/>
      <c r="L1552" s="71"/>
    </row>
    <row r="1553" spans="9:12" x14ac:dyDescent="0.3">
      <c r="I1553" s="71"/>
      <c r="J1553" s="71"/>
      <c r="K1553" s="71"/>
      <c r="L1553" s="71"/>
    </row>
    <row r="1554" spans="9:12" x14ac:dyDescent="0.3">
      <c r="I1554" s="71"/>
      <c r="J1554" s="71"/>
      <c r="K1554" s="71"/>
      <c r="L1554" s="71"/>
    </row>
    <row r="1555" spans="9:12" x14ac:dyDescent="0.3">
      <c r="I1555" s="71"/>
      <c r="J1555" s="71"/>
      <c r="K1555" s="71"/>
      <c r="L1555" s="71"/>
    </row>
    <row r="1556" spans="9:12" x14ac:dyDescent="0.3">
      <c r="I1556" s="71"/>
      <c r="J1556" s="71"/>
      <c r="K1556" s="71"/>
      <c r="L1556" s="71"/>
    </row>
    <row r="1557" spans="9:12" x14ac:dyDescent="0.3">
      <c r="I1557" s="71"/>
      <c r="J1557" s="71"/>
      <c r="K1557" s="71"/>
      <c r="L1557" s="71"/>
    </row>
    <row r="1558" spans="9:12" x14ac:dyDescent="0.3">
      <c r="I1558" s="71"/>
      <c r="J1558" s="71"/>
      <c r="K1558" s="71"/>
      <c r="L1558" s="71"/>
    </row>
    <row r="1559" spans="9:12" x14ac:dyDescent="0.3">
      <c r="I1559" s="71"/>
      <c r="J1559" s="71"/>
      <c r="K1559" s="71"/>
      <c r="L1559" s="71"/>
    </row>
    <row r="1560" spans="9:12" x14ac:dyDescent="0.3">
      <c r="I1560" s="71"/>
      <c r="J1560" s="71"/>
      <c r="K1560" s="71"/>
      <c r="L1560" s="71"/>
    </row>
    <row r="1561" spans="9:12" x14ac:dyDescent="0.3">
      <c r="I1561" s="71"/>
      <c r="J1561" s="71"/>
      <c r="K1561" s="71"/>
      <c r="L1561" s="71"/>
    </row>
    <row r="1562" spans="9:12" x14ac:dyDescent="0.3">
      <c r="I1562" s="71"/>
      <c r="J1562" s="71"/>
      <c r="K1562" s="71"/>
      <c r="L1562" s="71"/>
    </row>
    <row r="1563" spans="9:12" x14ac:dyDescent="0.3">
      <c r="I1563" s="71"/>
      <c r="J1563" s="71"/>
      <c r="K1563" s="71"/>
      <c r="L1563" s="71"/>
    </row>
    <row r="1564" spans="9:12" x14ac:dyDescent="0.3">
      <c r="I1564" s="71"/>
      <c r="J1564" s="71"/>
      <c r="K1564" s="71"/>
      <c r="L1564" s="71"/>
    </row>
    <row r="1565" spans="9:12" x14ac:dyDescent="0.3">
      <c r="I1565" s="71"/>
      <c r="J1565" s="71"/>
      <c r="K1565" s="71"/>
      <c r="L1565" s="71"/>
    </row>
    <row r="1566" spans="9:12" x14ac:dyDescent="0.3">
      <c r="I1566" s="71"/>
      <c r="J1566" s="71"/>
      <c r="K1566" s="71"/>
      <c r="L1566" s="71"/>
    </row>
    <row r="1567" spans="9:12" x14ac:dyDescent="0.3">
      <c r="I1567" s="71"/>
      <c r="J1567" s="71"/>
      <c r="K1567" s="71"/>
      <c r="L1567" s="71"/>
    </row>
    <row r="1568" spans="9:12" x14ac:dyDescent="0.3">
      <c r="I1568" s="71"/>
      <c r="J1568" s="71"/>
      <c r="K1568" s="71"/>
      <c r="L1568" s="71"/>
    </row>
    <row r="1569" spans="9:12" x14ac:dyDescent="0.3">
      <c r="I1569" s="71"/>
      <c r="J1569" s="71"/>
      <c r="K1569" s="71"/>
      <c r="L1569" s="71"/>
    </row>
    <row r="1570" spans="9:12" x14ac:dyDescent="0.3">
      <c r="I1570" s="71"/>
      <c r="J1570" s="71"/>
      <c r="K1570" s="71"/>
      <c r="L1570" s="71"/>
    </row>
    <row r="1571" spans="9:12" x14ac:dyDescent="0.3">
      <c r="I1571" s="71"/>
      <c r="J1571" s="71"/>
      <c r="K1571" s="71"/>
      <c r="L1571" s="71"/>
    </row>
    <row r="1572" spans="9:12" x14ac:dyDescent="0.3">
      <c r="I1572" s="71"/>
      <c r="J1572" s="71"/>
      <c r="K1572" s="71"/>
      <c r="L1572" s="71"/>
    </row>
    <row r="1573" spans="9:12" x14ac:dyDescent="0.3">
      <c r="I1573" s="71"/>
      <c r="J1573" s="71"/>
      <c r="K1573" s="71"/>
      <c r="L1573" s="71"/>
    </row>
    <row r="1574" spans="9:12" x14ac:dyDescent="0.3">
      <c r="I1574" s="71"/>
      <c r="J1574" s="71"/>
      <c r="K1574" s="71"/>
      <c r="L1574" s="71"/>
    </row>
    <row r="1575" spans="9:12" x14ac:dyDescent="0.3">
      <c r="I1575" s="71"/>
      <c r="J1575" s="71"/>
      <c r="K1575" s="71"/>
      <c r="L1575" s="71"/>
    </row>
    <row r="1576" spans="9:12" x14ac:dyDescent="0.3">
      <c r="I1576" s="71"/>
      <c r="J1576" s="71"/>
      <c r="K1576" s="71"/>
      <c r="L1576" s="71"/>
    </row>
    <row r="1577" spans="9:12" x14ac:dyDescent="0.3">
      <c r="I1577" s="71"/>
      <c r="J1577" s="71"/>
      <c r="K1577" s="71"/>
      <c r="L1577" s="71"/>
    </row>
    <row r="1578" spans="9:12" x14ac:dyDescent="0.3">
      <c r="I1578" s="71"/>
      <c r="J1578" s="71"/>
      <c r="K1578" s="71"/>
      <c r="L1578" s="71"/>
    </row>
    <row r="1579" spans="9:12" x14ac:dyDescent="0.3">
      <c r="I1579" s="71"/>
      <c r="J1579" s="71"/>
      <c r="K1579" s="71"/>
      <c r="L1579" s="71"/>
    </row>
    <row r="1580" spans="9:12" x14ac:dyDescent="0.3">
      <c r="I1580" s="71"/>
      <c r="J1580" s="71"/>
      <c r="K1580" s="71"/>
      <c r="L1580" s="71"/>
    </row>
    <row r="1581" spans="9:12" x14ac:dyDescent="0.3">
      <c r="I1581" s="71"/>
      <c r="J1581" s="71"/>
      <c r="K1581" s="71"/>
      <c r="L1581" s="71"/>
    </row>
    <row r="1582" spans="9:12" x14ac:dyDescent="0.3">
      <c r="I1582" s="71"/>
      <c r="J1582" s="71"/>
      <c r="K1582" s="71"/>
      <c r="L1582" s="71"/>
    </row>
    <row r="1583" spans="9:12" x14ac:dyDescent="0.3">
      <c r="I1583" s="71"/>
      <c r="J1583" s="71"/>
      <c r="K1583" s="71"/>
      <c r="L1583" s="71"/>
    </row>
    <row r="1584" spans="9:12" x14ac:dyDescent="0.3">
      <c r="I1584" s="71"/>
      <c r="J1584" s="71"/>
      <c r="K1584" s="71"/>
      <c r="L1584" s="71"/>
    </row>
    <row r="1585" spans="9:12" x14ac:dyDescent="0.3">
      <c r="I1585" s="71"/>
      <c r="J1585" s="71"/>
      <c r="K1585" s="71"/>
      <c r="L1585" s="71"/>
    </row>
    <row r="1586" spans="9:12" x14ac:dyDescent="0.3">
      <c r="I1586" s="71"/>
      <c r="J1586" s="71"/>
      <c r="K1586" s="71"/>
      <c r="L1586" s="71"/>
    </row>
    <row r="1587" spans="9:12" x14ac:dyDescent="0.3">
      <c r="I1587" s="71"/>
      <c r="J1587" s="71"/>
      <c r="K1587" s="71"/>
      <c r="L1587" s="71"/>
    </row>
    <row r="1588" spans="9:12" x14ac:dyDescent="0.3">
      <c r="I1588" s="71"/>
      <c r="J1588" s="71"/>
      <c r="K1588" s="71"/>
      <c r="L1588" s="71"/>
    </row>
    <row r="1589" spans="9:12" x14ac:dyDescent="0.3">
      <c r="I1589" s="71"/>
      <c r="J1589" s="71"/>
      <c r="K1589" s="71"/>
      <c r="L1589" s="71"/>
    </row>
    <row r="1590" spans="9:12" x14ac:dyDescent="0.3">
      <c r="I1590" s="71"/>
      <c r="J1590" s="71"/>
      <c r="K1590" s="71"/>
      <c r="L1590" s="71"/>
    </row>
    <row r="1591" spans="9:12" x14ac:dyDescent="0.3">
      <c r="I1591" s="71"/>
      <c r="J1591" s="71"/>
      <c r="K1591" s="71"/>
      <c r="L1591" s="71"/>
    </row>
    <row r="1592" spans="9:12" x14ac:dyDescent="0.3">
      <c r="I1592" s="71"/>
      <c r="J1592" s="71"/>
      <c r="K1592" s="71"/>
      <c r="L1592" s="71"/>
    </row>
    <row r="1593" spans="9:12" x14ac:dyDescent="0.3">
      <c r="I1593" s="71"/>
      <c r="J1593" s="71"/>
      <c r="K1593" s="71"/>
      <c r="L1593" s="71"/>
    </row>
    <row r="1594" spans="9:12" x14ac:dyDescent="0.3">
      <c r="I1594" s="71"/>
      <c r="J1594" s="71"/>
      <c r="K1594" s="71"/>
      <c r="L1594" s="71"/>
    </row>
    <row r="1595" spans="9:12" x14ac:dyDescent="0.3">
      <c r="I1595" s="71"/>
      <c r="J1595" s="71"/>
      <c r="K1595" s="71"/>
      <c r="L1595" s="71"/>
    </row>
    <row r="1596" spans="9:12" x14ac:dyDescent="0.3">
      <c r="I1596" s="71"/>
      <c r="J1596" s="71"/>
      <c r="K1596" s="71"/>
      <c r="L1596" s="71"/>
    </row>
    <row r="1597" spans="9:12" x14ac:dyDescent="0.3">
      <c r="I1597" s="71"/>
      <c r="J1597" s="71"/>
      <c r="K1597" s="71"/>
      <c r="L1597" s="71"/>
    </row>
    <row r="1598" spans="9:12" x14ac:dyDescent="0.3">
      <c r="I1598" s="71"/>
      <c r="J1598" s="71"/>
      <c r="K1598" s="71"/>
      <c r="L1598" s="71"/>
    </row>
    <row r="1599" spans="9:12" x14ac:dyDescent="0.3">
      <c r="I1599" s="71"/>
      <c r="J1599" s="71"/>
      <c r="K1599" s="71"/>
      <c r="L1599" s="71"/>
    </row>
    <row r="1600" spans="9:12" x14ac:dyDescent="0.3">
      <c r="I1600" s="71"/>
      <c r="J1600" s="71"/>
      <c r="K1600" s="71"/>
      <c r="L1600" s="71"/>
    </row>
    <row r="1601" spans="9:12" x14ac:dyDescent="0.3">
      <c r="I1601" s="71"/>
      <c r="J1601" s="71"/>
      <c r="K1601" s="71"/>
      <c r="L1601" s="71"/>
    </row>
    <row r="1602" spans="9:12" x14ac:dyDescent="0.3">
      <c r="I1602" s="71"/>
      <c r="J1602" s="71"/>
      <c r="K1602" s="71"/>
      <c r="L1602" s="71"/>
    </row>
    <row r="1603" spans="9:12" x14ac:dyDescent="0.3">
      <c r="I1603" s="71"/>
      <c r="J1603" s="71"/>
      <c r="K1603" s="71"/>
      <c r="L1603" s="71"/>
    </row>
    <row r="1604" spans="9:12" x14ac:dyDescent="0.3">
      <c r="I1604" s="71"/>
      <c r="J1604" s="71"/>
      <c r="K1604" s="71"/>
      <c r="L1604" s="71"/>
    </row>
    <row r="1605" spans="9:12" x14ac:dyDescent="0.3">
      <c r="I1605" s="71"/>
      <c r="J1605" s="71"/>
      <c r="K1605" s="71"/>
      <c r="L1605" s="71"/>
    </row>
    <row r="1606" spans="9:12" x14ac:dyDescent="0.3">
      <c r="I1606" s="71"/>
      <c r="J1606" s="71"/>
      <c r="K1606" s="71"/>
      <c r="L1606" s="71"/>
    </row>
    <row r="1607" spans="9:12" x14ac:dyDescent="0.3">
      <c r="I1607" s="71"/>
      <c r="J1607" s="71"/>
      <c r="K1607" s="71"/>
      <c r="L1607" s="71"/>
    </row>
    <row r="1608" spans="9:12" x14ac:dyDescent="0.3">
      <c r="I1608" s="71"/>
      <c r="J1608" s="71"/>
      <c r="K1608" s="71"/>
      <c r="L1608" s="71"/>
    </row>
    <row r="1609" spans="9:12" x14ac:dyDescent="0.3">
      <c r="I1609" s="71"/>
      <c r="J1609" s="71"/>
      <c r="K1609" s="71"/>
      <c r="L1609" s="71"/>
    </row>
    <row r="1610" spans="9:12" x14ac:dyDescent="0.3">
      <c r="I1610" s="71"/>
      <c r="J1610" s="71"/>
      <c r="K1610" s="71"/>
      <c r="L1610" s="71"/>
    </row>
    <row r="1611" spans="9:12" x14ac:dyDescent="0.3">
      <c r="I1611" s="71"/>
      <c r="J1611" s="71"/>
      <c r="K1611" s="71"/>
      <c r="L1611" s="71"/>
    </row>
    <row r="1612" spans="9:12" x14ac:dyDescent="0.3">
      <c r="I1612" s="71"/>
      <c r="J1612" s="71"/>
      <c r="K1612" s="71"/>
      <c r="L1612" s="71"/>
    </row>
    <row r="1613" spans="9:12" x14ac:dyDescent="0.3">
      <c r="I1613" s="71"/>
      <c r="J1613" s="71"/>
      <c r="K1613" s="71"/>
      <c r="L1613" s="71"/>
    </row>
    <row r="1614" spans="9:12" x14ac:dyDescent="0.3">
      <c r="I1614" s="71"/>
      <c r="J1614" s="71"/>
      <c r="K1614" s="71"/>
      <c r="L1614" s="71"/>
    </row>
    <row r="1615" spans="9:12" x14ac:dyDescent="0.3">
      <c r="I1615" s="71"/>
      <c r="J1615" s="71"/>
      <c r="K1615" s="71"/>
      <c r="L1615" s="71"/>
    </row>
    <row r="1616" spans="9:12" x14ac:dyDescent="0.3">
      <c r="I1616" s="71"/>
      <c r="J1616" s="71"/>
      <c r="K1616" s="71"/>
      <c r="L1616" s="71"/>
    </row>
    <row r="1617" spans="9:12" x14ac:dyDescent="0.3">
      <c r="I1617" s="71"/>
      <c r="J1617" s="71"/>
      <c r="K1617" s="71"/>
      <c r="L1617" s="71"/>
    </row>
    <row r="1618" spans="9:12" x14ac:dyDescent="0.3">
      <c r="I1618" s="71"/>
      <c r="J1618" s="71"/>
      <c r="K1618" s="71"/>
      <c r="L1618" s="71"/>
    </row>
    <row r="1619" spans="9:12" x14ac:dyDescent="0.3">
      <c r="I1619" s="71"/>
      <c r="J1619" s="71"/>
      <c r="K1619" s="71"/>
      <c r="L1619" s="71"/>
    </row>
    <row r="1620" spans="9:12" x14ac:dyDescent="0.3">
      <c r="I1620" s="71"/>
      <c r="J1620" s="71"/>
      <c r="K1620" s="71"/>
      <c r="L1620" s="71"/>
    </row>
    <row r="1621" spans="9:12" x14ac:dyDescent="0.3">
      <c r="I1621" s="71"/>
      <c r="J1621" s="71"/>
      <c r="K1621" s="71"/>
      <c r="L1621" s="71"/>
    </row>
    <row r="1622" spans="9:12" x14ac:dyDescent="0.3">
      <c r="I1622" s="71"/>
      <c r="J1622" s="71"/>
      <c r="K1622" s="71"/>
      <c r="L1622" s="71"/>
    </row>
    <row r="1623" spans="9:12" x14ac:dyDescent="0.3">
      <c r="I1623" s="71"/>
      <c r="J1623" s="71"/>
      <c r="K1623" s="71"/>
      <c r="L1623" s="71"/>
    </row>
    <row r="1624" spans="9:12" x14ac:dyDescent="0.3">
      <c r="I1624" s="71"/>
      <c r="J1624" s="71"/>
      <c r="K1624" s="71"/>
      <c r="L1624" s="71"/>
    </row>
    <row r="1625" spans="9:12" x14ac:dyDescent="0.3">
      <c r="I1625" s="71"/>
      <c r="J1625" s="71"/>
      <c r="K1625" s="71"/>
      <c r="L1625" s="71"/>
    </row>
    <row r="1626" spans="9:12" x14ac:dyDescent="0.3">
      <c r="I1626" s="71"/>
      <c r="J1626" s="71"/>
      <c r="K1626" s="71"/>
      <c r="L1626" s="71"/>
    </row>
    <row r="1627" spans="9:12" x14ac:dyDescent="0.3">
      <c r="I1627" s="71"/>
      <c r="J1627" s="71"/>
      <c r="K1627" s="71"/>
      <c r="L1627" s="71"/>
    </row>
    <row r="1628" spans="9:12" x14ac:dyDescent="0.3">
      <c r="I1628" s="71"/>
      <c r="J1628" s="71"/>
      <c r="K1628" s="71"/>
      <c r="L1628" s="71"/>
    </row>
    <row r="1629" spans="9:12" x14ac:dyDescent="0.3">
      <c r="I1629" s="71"/>
      <c r="J1629" s="71"/>
      <c r="K1629" s="71"/>
      <c r="L1629" s="71"/>
    </row>
    <row r="1630" spans="9:12" x14ac:dyDescent="0.3">
      <c r="I1630" s="71"/>
      <c r="J1630" s="71"/>
      <c r="K1630" s="71"/>
      <c r="L1630" s="71"/>
    </row>
    <row r="1631" spans="9:12" x14ac:dyDescent="0.3">
      <c r="I1631" s="71"/>
      <c r="J1631" s="71"/>
      <c r="K1631" s="71"/>
      <c r="L1631" s="71"/>
    </row>
    <row r="1632" spans="9:12" x14ac:dyDescent="0.3">
      <c r="I1632" s="71"/>
      <c r="J1632" s="71"/>
      <c r="K1632" s="71"/>
      <c r="L1632" s="71"/>
    </row>
    <row r="1633" spans="9:12" x14ac:dyDescent="0.3">
      <c r="I1633" s="71"/>
      <c r="J1633" s="71"/>
      <c r="K1633" s="71"/>
      <c r="L1633" s="71"/>
    </row>
    <row r="1634" spans="9:12" x14ac:dyDescent="0.3">
      <c r="I1634" s="71"/>
      <c r="J1634" s="71"/>
      <c r="K1634" s="71"/>
      <c r="L1634" s="71"/>
    </row>
    <row r="1635" spans="9:12" x14ac:dyDescent="0.3">
      <c r="I1635" s="71"/>
      <c r="J1635" s="71"/>
      <c r="K1635" s="71"/>
      <c r="L1635" s="71"/>
    </row>
    <row r="1636" spans="9:12" x14ac:dyDescent="0.3">
      <c r="I1636" s="71"/>
      <c r="J1636" s="71"/>
      <c r="K1636" s="71"/>
      <c r="L1636" s="71"/>
    </row>
    <row r="1637" spans="9:12" x14ac:dyDescent="0.3">
      <c r="I1637" s="71"/>
      <c r="J1637" s="71"/>
      <c r="K1637" s="71"/>
      <c r="L1637" s="71"/>
    </row>
    <row r="1638" spans="9:12" x14ac:dyDescent="0.3">
      <c r="I1638" s="71"/>
      <c r="J1638" s="71"/>
      <c r="K1638" s="71"/>
      <c r="L1638" s="71"/>
    </row>
    <row r="1639" spans="9:12" x14ac:dyDescent="0.3">
      <c r="I1639" s="71"/>
      <c r="J1639" s="71"/>
      <c r="K1639" s="71"/>
      <c r="L1639" s="71"/>
    </row>
    <row r="1640" spans="9:12" x14ac:dyDescent="0.3">
      <c r="I1640" s="71"/>
      <c r="J1640" s="71"/>
      <c r="K1640" s="71"/>
      <c r="L1640" s="71"/>
    </row>
    <row r="1641" spans="9:12" x14ac:dyDescent="0.3">
      <c r="I1641" s="71"/>
      <c r="J1641" s="71"/>
      <c r="K1641" s="71"/>
      <c r="L1641" s="71"/>
    </row>
    <row r="1642" spans="9:12" x14ac:dyDescent="0.3">
      <c r="I1642" s="71"/>
      <c r="J1642" s="71"/>
      <c r="K1642" s="71"/>
      <c r="L1642" s="71"/>
    </row>
    <row r="1643" spans="9:12" x14ac:dyDescent="0.3">
      <c r="I1643" s="71"/>
      <c r="J1643" s="71"/>
      <c r="K1643" s="71"/>
      <c r="L1643" s="71"/>
    </row>
    <row r="1644" spans="9:12" x14ac:dyDescent="0.3">
      <c r="I1644" s="71"/>
      <c r="J1644" s="71"/>
      <c r="K1644" s="71"/>
      <c r="L1644" s="71"/>
    </row>
    <row r="1645" spans="9:12" x14ac:dyDescent="0.3">
      <c r="I1645" s="71"/>
      <c r="J1645" s="71"/>
      <c r="K1645" s="71"/>
      <c r="L1645" s="71"/>
    </row>
    <row r="1646" spans="9:12" x14ac:dyDescent="0.3">
      <c r="I1646" s="71"/>
      <c r="J1646" s="71"/>
      <c r="K1646" s="71"/>
      <c r="L1646" s="71"/>
    </row>
    <row r="1647" spans="9:12" x14ac:dyDescent="0.3">
      <c r="I1647" s="71"/>
      <c r="J1647" s="71"/>
      <c r="K1647" s="71"/>
      <c r="L1647" s="71"/>
    </row>
    <row r="1648" spans="9:12" x14ac:dyDescent="0.3">
      <c r="I1648" s="71"/>
      <c r="J1648" s="71"/>
      <c r="K1648" s="71"/>
      <c r="L1648" s="71"/>
    </row>
    <row r="1649" spans="9:12" x14ac:dyDescent="0.3">
      <c r="I1649" s="71"/>
      <c r="J1649" s="71"/>
      <c r="K1649" s="71"/>
      <c r="L1649" s="71"/>
    </row>
    <row r="1650" spans="9:12" x14ac:dyDescent="0.3">
      <c r="I1650" s="71"/>
      <c r="J1650" s="71"/>
      <c r="K1650" s="71"/>
      <c r="L1650" s="71"/>
    </row>
    <row r="1651" spans="9:12" x14ac:dyDescent="0.3">
      <c r="I1651" s="71"/>
      <c r="J1651" s="71"/>
      <c r="K1651" s="71"/>
      <c r="L1651" s="71"/>
    </row>
    <row r="1652" spans="9:12" x14ac:dyDescent="0.3">
      <c r="I1652" s="71"/>
      <c r="J1652" s="71"/>
      <c r="K1652" s="71"/>
      <c r="L1652" s="71"/>
    </row>
    <row r="1653" spans="9:12" x14ac:dyDescent="0.3">
      <c r="I1653" s="71"/>
      <c r="J1653" s="71"/>
      <c r="K1653" s="71"/>
      <c r="L1653" s="71"/>
    </row>
    <row r="1654" spans="9:12" x14ac:dyDescent="0.3">
      <c r="I1654" s="71"/>
      <c r="J1654" s="71"/>
      <c r="K1654" s="71"/>
      <c r="L1654" s="71"/>
    </row>
    <row r="1655" spans="9:12" x14ac:dyDescent="0.3">
      <c r="I1655" s="71"/>
      <c r="J1655" s="71"/>
      <c r="K1655" s="71"/>
      <c r="L1655" s="71"/>
    </row>
    <row r="1656" spans="9:12" x14ac:dyDescent="0.3">
      <c r="I1656" s="71"/>
      <c r="J1656" s="71"/>
      <c r="K1656" s="71"/>
      <c r="L1656" s="71"/>
    </row>
    <row r="1657" spans="9:12" x14ac:dyDescent="0.3">
      <c r="I1657" s="71"/>
      <c r="J1657" s="71"/>
      <c r="K1657" s="71"/>
      <c r="L1657" s="71"/>
    </row>
    <row r="1658" spans="9:12" x14ac:dyDescent="0.3">
      <c r="I1658" s="71"/>
      <c r="J1658" s="71"/>
      <c r="K1658" s="71"/>
      <c r="L1658" s="71"/>
    </row>
    <row r="1659" spans="9:12" x14ac:dyDescent="0.3">
      <c r="I1659" s="71"/>
      <c r="J1659" s="71"/>
      <c r="K1659" s="71"/>
      <c r="L1659" s="71"/>
    </row>
    <row r="1660" spans="9:12" x14ac:dyDescent="0.3">
      <c r="I1660" s="71"/>
      <c r="J1660" s="71"/>
      <c r="K1660" s="71"/>
      <c r="L1660" s="71"/>
    </row>
    <row r="1661" spans="9:12" x14ac:dyDescent="0.3">
      <c r="I1661" s="71"/>
      <c r="J1661" s="71"/>
      <c r="K1661" s="71"/>
      <c r="L1661" s="71"/>
    </row>
    <row r="1662" spans="9:12" x14ac:dyDescent="0.3">
      <c r="I1662" s="71"/>
      <c r="J1662" s="71"/>
      <c r="K1662" s="71"/>
      <c r="L1662" s="71"/>
    </row>
    <row r="1663" spans="9:12" x14ac:dyDescent="0.3">
      <c r="I1663" s="71"/>
      <c r="J1663" s="71"/>
      <c r="K1663" s="71"/>
      <c r="L1663" s="71"/>
    </row>
    <row r="1664" spans="9:12" x14ac:dyDescent="0.3">
      <c r="I1664" s="71"/>
      <c r="J1664" s="71"/>
      <c r="K1664" s="71"/>
      <c r="L1664" s="71"/>
    </row>
    <row r="1665" spans="9:12" x14ac:dyDescent="0.3">
      <c r="I1665" s="71"/>
      <c r="J1665" s="71"/>
      <c r="K1665" s="71"/>
      <c r="L1665" s="71"/>
    </row>
    <row r="1666" spans="9:12" x14ac:dyDescent="0.3">
      <c r="I1666" s="71"/>
      <c r="J1666" s="71"/>
      <c r="K1666" s="71"/>
      <c r="L1666" s="71"/>
    </row>
    <row r="1667" spans="9:12" x14ac:dyDescent="0.3">
      <c r="I1667" s="71"/>
      <c r="J1667" s="71"/>
      <c r="K1667" s="71"/>
      <c r="L1667" s="71"/>
    </row>
    <row r="1668" spans="9:12" x14ac:dyDescent="0.3">
      <c r="I1668" s="71"/>
      <c r="J1668" s="71"/>
      <c r="K1668" s="71"/>
      <c r="L1668" s="71"/>
    </row>
    <row r="1669" spans="9:12" x14ac:dyDescent="0.3">
      <c r="I1669" s="71"/>
      <c r="J1669" s="71"/>
      <c r="K1669" s="71"/>
      <c r="L1669" s="71"/>
    </row>
    <row r="1670" spans="9:12" x14ac:dyDescent="0.3">
      <c r="I1670" s="71"/>
      <c r="J1670" s="71"/>
      <c r="K1670" s="71"/>
      <c r="L1670" s="71"/>
    </row>
    <row r="1671" spans="9:12" x14ac:dyDescent="0.3">
      <c r="I1671" s="71"/>
      <c r="J1671" s="71"/>
      <c r="K1671" s="71"/>
      <c r="L1671" s="71"/>
    </row>
    <row r="1672" spans="9:12" x14ac:dyDescent="0.3">
      <c r="I1672" s="71"/>
      <c r="J1672" s="71"/>
      <c r="K1672" s="71"/>
      <c r="L1672" s="71"/>
    </row>
    <row r="1673" spans="9:12" x14ac:dyDescent="0.3">
      <c r="I1673" s="71"/>
      <c r="J1673" s="71"/>
      <c r="K1673" s="71"/>
      <c r="L1673" s="71"/>
    </row>
    <row r="1674" spans="9:12" x14ac:dyDescent="0.3">
      <c r="I1674" s="71"/>
      <c r="J1674" s="71"/>
      <c r="K1674" s="71"/>
      <c r="L1674" s="71"/>
    </row>
    <row r="1675" spans="9:12" x14ac:dyDescent="0.3">
      <c r="I1675" s="71"/>
      <c r="J1675" s="71"/>
      <c r="K1675" s="71"/>
      <c r="L1675" s="71"/>
    </row>
    <row r="1676" spans="9:12" x14ac:dyDescent="0.3">
      <c r="I1676" s="71"/>
      <c r="J1676" s="71"/>
      <c r="K1676" s="71"/>
      <c r="L1676" s="71"/>
    </row>
    <row r="1677" spans="9:12" x14ac:dyDescent="0.3">
      <c r="I1677" s="71"/>
      <c r="J1677" s="71"/>
      <c r="K1677" s="71"/>
      <c r="L1677" s="71"/>
    </row>
    <row r="1678" spans="9:12" x14ac:dyDescent="0.3">
      <c r="I1678" s="71"/>
      <c r="J1678" s="71"/>
      <c r="K1678" s="71"/>
      <c r="L1678" s="71"/>
    </row>
    <row r="1679" spans="9:12" x14ac:dyDescent="0.3">
      <c r="I1679" s="71"/>
      <c r="J1679" s="71"/>
      <c r="K1679" s="71"/>
      <c r="L1679" s="71"/>
    </row>
    <row r="1680" spans="9:12" x14ac:dyDescent="0.3">
      <c r="I1680" s="71"/>
      <c r="J1680" s="71"/>
      <c r="K1680" s="71"/>
      <c r="L1680" s="71"/>
    </row>
    <row r="1681" spans="9:12" x14ac:dyDescent="0.3">
      <c r="I1681" s="71"/>
      <c r="J1681" s="71"/>
      <c r="K1681" s="71"/>
      <c r="L1681" s="71"/>
    </row>
    <row r="1682" spans="9:12" x14ac:dyDescent="0.3">
      <c r="I1682" s="71"/>
      <c r="J1682" s="71"/>
      <c r="K1682" s="71"/>
      <c r="L1682" s="71"/>
    </row>
    <row r="1683" spans="9:12" x14ac:dyDescent="0.3">
      <c r="I1683" s="71"/>
      <c r="J1683" s="71"/>
      <c r="K1683" s="71"/>
      <c r="L1683" s="71"/>
    </row>
    <row r="1684" spans="9:12" x14ac:dyDescent="0.3">
      <c r="I1684" s="71"/>
      <c r="J1684" s="71"/>
      <c r="K1684" s="71"/>
      <c r="L1684" s="71"/>
    </row>
    <row r="1685" spans="9:12" x14ac:dyDescent="0.3">
      <c r="I1685" s="71"/>
      <c r="J1685" s="71"/>
      <c r="K1685" s="71"/>
      <c r="L1685" s="71"/>
    </row>
    <row r="1686" spans="9:12" x14ac:dyDescent="0.3">
      <c r="I1686" s="71"/>
      <c r="J1686" s="71"/>
      <c r="K1686" s="71"/>
      <c r="L1686" s="71"/>
    </row>
    <row r="1687" spans="9:12" x14ac:dyDescent="0.3">
      <c r="I1687" s="71"/>
      <c r="J1687" s="71"/>
      <c r="K1687" s="71"/>
      <c r="L1687" s="71"/>
    </row>
    <row r="1688" spans="9:12" x14ac:dyDescent="0.3">
      <c r="I1688" s="71"/>
      <c r="J1688" s="71"/>
      <c r="K1688" s="71"/>
      <c r="L1688" s="71"/>
    </row>
    <row r="1689" spans="9:12" x14ac:dyDescent="0.3">
      <c r="I1689" s="71"/>
      <c r="J1689" s="71"/>
      <c r="K1689" s="71"/>
      <c r="L1689" s="71"/>
    </row>
    <row r="1690" spans="9:12" x14ac:dyDescent="0.3">
      <c r="I1690" s="71"/>
      <c r="J1690" s="71"/>
      <c r="K1690" s="71"/>
      <c r="L1690" s="71"/>
    </row>
    <row r="1691" spans="9:12" x14ac:dyDescent="0.3">
      <c r="I1691" s="71"/>
      <c r="J1691" s="71"/>
      <c r="K1691" s="71"/>
      <c r="L1691" s="71"/>
    </row>
    <row r="1692" spans="9:12" x14ac:dyDescent="0.3">
      <c r="I1692" s="71"/>
      <c r="J1692" s="71"/>
      <c r="K1692" s="71"/>
      <c r="L1692" s="71"/>
    </row>
    <row r="1693" spans="9:12" x14ac:dyDescent="0.3">
      <c r="I1693" s="71"/>
      <c r="J1693" s="71"/>
      <c r="K1693" s="71"/>
      <c r="L1693" s="71"/>
    </row>
    <row r="1694" spans="9:12" x14ac:dyDescent="0.3">
      <c r="I1694" s="71"/>
      <c r="J1694" s="71"/>
      <c r="K1694" s="71"/>
      <c r="L1694" s="71"/>
    </row>
    <row r="1695" spans="9:12" x14ac:dyDescent="0.3">
      <c r="I1695" s="71"/>
      <c r="J1695" s="71"/>
      <c r="K1695" s="71"/>
      <c r="L1695" s="71"/>
    </row>
    <row r="1696" spans="9:12" x14ac:dyDescent="0.3">
      <c r="I1696" s="71"/>
      <c r="J1696" s="71"/>
      <c r="K1696" s="71"/>
      <c r="L1696" s="71"/>
    </row>
    <row r="1697" spans="9:12" x14ac:dyDescent="0.3">
      <c r="I1697" s="71"/>
      <c r="J1697" s="71"/>
      <c r="K1697" s="71"/>
      <c r="L1697" s="71"/>
    </row>
    <row r="1698" spans="9:12" x14ac:dyDescent="0.3">
      <c r="I1698" s="71"/>
      <c r="J1698" s="71"/>
      <c r="K1698" s="71"/>
      <c r="L1698" s="71"/>
    </row>
    <row r="1699" spans="9:12" x14ac:dyDescent="0.3">
      <c r="I1699" s="71"/>
      <c r="J1699" s="71"/>
      <c r="K1699" s="71"/>
      <c r="L1699" s="71"/>
    </row>
    <row r="1700" spans="9:12" x14ac:dyDescent="0.3">
      <c r="I1700" s="71"/>
      <c r="J1700" s="71"/>
      <c r="K1700" s="71"/>
      <c r="L1700" s="71"/>
    </row>
    <row r="1701" spans="9:12" x14ac:dyDescent="0.3">
      <c r="I1701" s="71"/>
      <c r="J1701" s="71"/>
      <c r="K1701" s="71"/>
      <c r="L1701" s="71"/>
    </row>
    <row r="1702" spans="9:12" x14ac:dyDescent="0.3">
      <c r="I1702" s="71"/>
      <c r="J1702" s="71"/>
      <c r="K1702" s="71"/>
      <c r="L1702" s="71"/>
    </row>
    <row r="1703" spans="9:12" x14ac:dyDescent="0.3">
      <c r="I1703" s="71"/>
      <c r="J1703" s="71"/>
      <c r="K1703" s="71"/>
      <c r="L1703" s="71"/>
    </row>
    <row r="1704" spans="9:12" x14ac:dyDescent="0.3">
      <c r="I1704" s="71"/>
      <c r="J1704" s="71"/>
      <c r="K1704" s="71"/>
      <c r="L1704" s="71"/>
    </row>
    <row r="1705" spans="9:12" x14ac:dyDescent="0.3">
      <c r="I1705" s="71"/>
      <c r="J1705" s="71"/>
      <c r="K1705" s="71"/>
      <c r="L1705" s="71"/>
    </row>
    <row r="1706" spans="9:12" x14ac:dyDescent="0.3">
      <c r="I1706" s="71"/>
      <c r="J1706" s="71"/>
      <c r="K1706" s="71"/>
      <c r="L1706" s="71"/>
    </row>
    <row r="1707" spans="9:12" x14ac:dyDescent="0.3">
      <c r="I1707" s="71"/>
      <c r="J1707" s="71"/>
      <c r="K1707" s="71"/>
      <c r="L1707" s="71"/>
    </row>
    <row r="1708" spans="9:12" x14ac:dyDescent="0.3">
      <c r="I1708" s="71"/>
      <c r="J1708" s="71"/>
      <c r="K1708" s="71"/>
      <c r="L1708" s="71"/>
    </row>
    <row r="1709" spans="9:12" x14ac:dyDescent="0.3">
      <c r="I1709" s="71"/>
      <c r="J1709" s="71"/>
      <c r="K1709" s="71"/>
      <c r="L1709" s="71"/>
    </row>
    <row r="1710" spans="9:12" x14ac:dyDescent="0.3">
      <c r="I1710" s="71"/>
      <c r="J1710" s="71"/>
      <c r="K1710" s="71"/>
      <c r="L1710" s="71"/>
    </row>
    <row r="1711" spans="9:12" x14ac:dyDescent="0.3">
      <c r="I1711" s="71"/>
      <c r="J1711" s="71"/>
      <c r="K1711" s="71"/>
      <c r="L1711" s="71"/>
    </row>
    <row r="1712" spans="9:12" x14ac:dyDescent="0.3">
      <c r="I1712" s="71"/>
      <c r="J1712" s="71"/>
      <c r="K1712" s="71"/>
      <c r="L1712" s="71"/>
    </row>
    <row r="1713" spans="9:12" x14ac:dyDescent="0.3">
      <c r="I1713" s="71"/>
      <c r="J1713" s="71"/>
      <c r="K1713" s="71"/>
      <c r="L1713" s="71"/>
    </row>
    <row r="1714" spans="9:12" x14ac:dyDescent="0.3">
      <c r="I1714" s="71"/>
      <c r="J1714" s="71"/>
      <c r="K1714" s="71"/>
      <c r="L1714" s="71"/>
    </row>
    <row r="1715" spans="9:12" x14ac:dyDescent="0.3">
      <c r="I1715" s="71"/>
      <c r="J1715" s="71"/>
      <c r="K1715" s="71"/>
      <c r="L1715" s="71"/>
    </row>
    <row r="1716" spans="9:12" x14ac:dyDescent="0.3">
      <c r="I1716" s="71"/>
      <c r="J1716" s="71"/>
      <c r="K1716" s="71"/>
      <c r="L1716" s="71"/>
    </row>
    <row r="1717" spans="9:12" x14ac:dyDescent="0.3">
      <c r="I1717" s="71"/>
      <c r="J1717" s="71"/>
      <c r="K1717" s="71"/>
      <c r="L1717" s="71"/>
    </row>
    <row r="1718" spans="9:12" x14ac:dyDescent="0.3">
      <c r="I1718" s="71"/>
      <c r="J1718" s="71"/>
      <c r="K1718" s="71"/>
      <c r="L1718" s="71"/>
    </row>
    <row r="1719" spans="9:12" x14ac:dyDescent="0.3">
      <c r="I1719" s="71"/>
      <c r="J1719" s="71"/>
      <c r="K1719" s="71"/>
      <c r="L1719" s="71"/>
    </row>
    <row r="1720" spans="9:12" x14ac:dyDescent="0.3">
      <c r="I1720" s="71"/>
      <c r="J1720" s="71"/>
      <c r="K1720" s="71"/>
      <c r="L1720" s="71"/>
    </row>
    <row r="1721" spans="9:12" x14ac:dyDescent="0.3">
      <c r="I1721" s="71"/>
      <c r="J1721" s="71"/>
      <c r="K1721" s="71"/>
      <c r="L1721" s="71"/>
    </row>
    <row r="1722" spans="9:12" x14ac:dyDescent="0.3">
      <c r="I1722" s="71"/>
      <c r="J1722" s="71"/>
      <c r="K1722" s="71"/>
      <c r="L1722" s="71"/>
    </row>
    <row r="1723" spans="9:12" x14ac:dyDescent="0.3">
      <c r="I1723" s="71"/>
      <c r="J1723" s="71"/>
      <c r="K1723" s="71"/>
      <c r="L1723" s="71"/>
    </row>
    <row r="1724" spans="9:12" x14ac:dyDescent="0.3">
      <c r="I1724" s="71"/>
      <c r="J1724" s="71"/>
      <c r="K1724" s="71"/>
      <c r="L1724" s="71"/>
    </row>
    <row r="1725" spans="9:12" x14ac:dyDescent="0.3">
      <c r="I1725" s="71"/>
      <c r="J1725" s="71"/>
      <c r="K1725" s="71"/>
      <c r="L1725" s="71"/>
    </row>
    <row r="1726" spans="9:12" x14ac:dyDescent="0.3">
      <c r="I1726" s="71"/>
      <c r="J1726" s="71"/>
      <c r="K1726" s="71"/>
      <c r="L1726" s="71"/>
    </row>
    <row r="1727" spans="9:12" x14ac:dyDescent="0.3">
      <c r="I1727" s="71"/>
      <c r="J1727" s="71"/>
      <c r="K1727" s="71"/>
      <c r="L1727" s="71"/>
    </row>
    <row r="1728" spans="9:12" x14ac:dyDescent="0.3">
      <c r="I1728" s="71"/>
      <c r="J1728" s="71"/>
      <c r="K1728" s="71"/>
      <c r="L1728" s="71"/>
    </row>
    <row r="1729" spans="9:12" x14ac:dyDescent="0.3">
      <c r="I1729" s="71"/>
      <c r="J1729" s="71"/>
      <c r="K1729" s="71"/>
      <c r="L1729" s="71"/>
    </row>
    <row r="1730" spans="9:12" x14ac:dyDescent="0.3">
      <c r="I1730" s="71"/>
      <c r="J1730" s="71"/>
      <c r="K1730" s="71"/>
      <c r="L1730" s="71"/>
    </row>
    <row r="1731" spans="9:12" x14ac:dyDescent="0.3">
      <c r="I1731" s="71"/>
      <c r="J1731" s="71"/>
      <c r="K1731" s="71"/>
      <c r="L1731" s="71"/>
    </row>
    <row r="1732" spans="9:12" x14ac:dyDescent="0.3">
      <c r="I1732" s="71"/>
      <c r="J1732" s="71"/>
      <c r="K1732" s="71"/>
      <c r="L1732" s="71"/>
    </row>
    <row r="1733" spans="9:12" x14ac:dyDescent="0.3">
      <c r="I1733" s="71"/>
      <c r="J1733" s="71"/>
      <c r="K1733" s="71"/>
      <c r="L1733" s="71"/>
    </row>
    <row r="1734" spans="9:12" x14ac:dyDescent="0.3">
      <c r="I1734" s="71"/>
      <c r="J1734" s="71"/>
      <c r="K1734" s="71"/>
      <c r="L1734" s="71"/>
    </row>
    <row r="1735" spans="9:12" x14ac:dyDescent="0.3">
      <c r="I1735" s="71"/>
      <c r="J1735" s="71"/>
      <c r="K1735" s="71"/>
      <c r="L1735" s="71"/>
    </row>
    <row r="1736" spans="9:12" x14ac:dyDescent="0.3">
      <c r="I1736" s="71"/>
      <c r="J1736" s="71"/>
      <c r="K1736" s="71"/>
      <c r="L1736" s="71"/>
    </row>
    <row r="1737" spans="9:12" x14ac:dyDescent="0.3">
      <c r="I1737" s="71"/>
      <c r="J1737" s="71"/>
      <c r="K1737" s="71"/>
      <c r="L1737" s="71"/>
    </row>
    <row r="1738" spans="9:12" x14ac:dyDescent="0.3">
      <c r="I1738" s="71"/>
      <c r="J1738" s="71"/>
      <c r="K1738" s="71"/>
      <c r="L1738" s="71"/>
    </row>
    <row r="1739" spans="9:12" x14ac:dyDescent="0.3">
      <c r="I1739" s="71"/>
      <c r="J1739" s="71"/>
      <c r="K1739" s="71"/>
      <c r="L1739" s="71"/>
    </row>
    <row r="1740" spans="9:12" x14ac:dyDescent="0.3">
      <c r="I1740" s="71"/>
      <c r="J1740" s="71"/>
      <c r="K1740" s="71"/>
      <c r="L1740" s="71"/>
    </row>
    <row r="1741" spans="9:12" x14ac:dyDescent="0.3">
      <c r="I1741" s="71"/>
      <c r="J1741" s="71"/>
      <c r="K1741" s="71"/>
      <c r="L1741" s="71"/>
    </row>
    <row r="1742" spans="9:12" x14ac:dyDescent="0.3">
      <c r="I1742" s="71"/>
      <c r="J1742" s="71"/>
      <c r="K1742" s="71"/>
      <c r="L1742" s="71"/>
    </row>
    <row r="1743" spans="9:12" x14ac:dyDescent="0.3">
      <c r="I1743" s="71"/>
      <c r="J1743" s="71"/>
      <c r="K1743" s="71"/>
      <c r="L1743" s="71"/>
    </row>
    <row r="1744" spans="9:12" x14ac:dyDescent="0.3">
      <c r="I1744" s="71"/>
      <c r="J1744" s="71"/>
      <c r="K1744" s="71"/>
      <c r="L1744" s="71"/>
    </row>
    <row r="1745" spans="9:12" x14ac:dyDescent="0.3">
      <c r="I1745" s="71"/>
      <c r="J1745" s="71"/>
      <c r="K1745" s="71"/>
      <c r="L1745" s="71"/>
    </row>
    <row r="1746" spans="9:12" x14ac:dyDescent="0.3">
      <c r="I1746" s="71"/>
      <c r="J1746" s="71"/>
      <c r="K1746" s="71"/>
      <c r="L1746" s="71"/>
    </row>
    <row r="1747" spans="9:12" x14ac:dyDescent="0.3">
      <c r="I1747" s="71"/>
      <c r="J1747" s="71"/>
      <c r="K1747" s="71"/>
      <c r="L1747" s="71"/>
    </row>
    <row r="1748" spans="9:12" x14ac:dyDescent="0.3">
      <c r="I1748" s="71"/>
      <c r="J1748" s="71"/>
      <c r="K1748" s="71"/>
      <c r="L1748" s="71"/>
    </row>
  </sheetData>
  <autoFilter ref="B51:L1130" xr:uid="{D5BC0C1F-CD5A-48D5-B79D-A59FB7DC72E0}"/>
  <mergeCells count="1">
    <mergeCell ref="D39:F39"/>
  </mergeCells>
  <conditionalFormatting sqref="C5:D5">
    <cfRule type="duplicateValues" dxfId="20" priority="21"/>
  </conditionalFormatting>
  <conditionalFormatting sqref="C5:D5">
    <cfRule type="duplicateValues" dxfId="19" priority="20"/>
  </conditionalFormatting>
  <conditionalFormatting sqref="C5:D5">
    <cfRule type="duplicateValues" dxfId="18" priority="19"/>
  </conditionalFormatting>
  <conditionalFormatting sqref="C10:E11">
    <cfRule type="cellIs" dxfId="17" priority="16" operator="between">
      <formula>0.501</formula>
      <formula>0.999</formula>
    </cfRule>
    <cfRule type="cellIs" dxfId="16" priority="17" operator="lessThan">
      <formula>0.5</formula>
    </cfRule>
    <cfRule type="cellIs" dxfId="15" priority="18" operator="greaterThan">
      <formula>1</formula>
    </cfRule>
  </conditionalFormatting>
  <conditionalFormatting sqref="E5:F5">
    <cfRule type="duplicateValues" dxfId="14" priority="15"/>
  </conditionalFormatting>
  <conditionalFormatting sqref="E5:F5">
    <cfRule type="duplicateValues" dxfId="13" priority="14"/>
  </conditionalFormatting>
  <conditionalFormatting sqref="E5:F5">
    <cfRule type="duplicateValues" dxfId="12" priority="13"/>
  </conditionalFormatting>
  <conditionalFormatting sqref="F11:G11">
    <cfRule type="cellIs" dxfId="11" priority="10" operator="between">
      <formula>0.501</formula>
      <formula>0.999</formula>
    </cfRule>
    <cfRule type="cellIs" dxfId="10" priority="11" operator="lessThan">
      <formula>0.5</formula>
    </cfRule>
    <cfRule type="cellIs" dxfId="9" priority="12" operator="greaterThan">
      <formula>1</formula>
    </cfRule>
  </conditionalFormatting>
  <conditionalFormatting sqref="F14">
    <cfRule type="cellIs" dxfId="8" priority="7" operator="between">
      <formula>0.501</formula>
      <formula>0.999</formula>
    </cfRule>
    <cfRule type="cellIs" dxfId="7" priority="8" operator="lessThan">
      <formula>0.5</formula>
    </cfRule>
    <cfRule type="cellIs" dxfId="6" priority="9" operator="greaterThan">
      <formula>1</formula>
    </cfRule>
  </conditionalFormatting>
  <conditionalFormatting sqref="F18">
    <cfRule type="cellIs" dxfId="5" priority="4" operator="between">
      <formula>0.501</formula>
      <formula>0.999</formula>
    </cfRule>
    <cfRule type="cellIs" dxfId="4" priority="5" operator="lessThan">
      <formula>0.5</formula>
    </cfRule>
    <cfRule type="cellIs" dxfId="3" priority="6" operator="greaterThan">
      <formula>1</formula>
    </cfRule>
  </conditionalFormatting>
  <conditionalFormatting sqref="H11">
    <cfRule type="cellIs" dxfId="2" priority="1" operator="between">
      <formula>0.501</formula>
      <formula>0.999</formula>
    </cfRule>
    <cfRule type="cellIs" dxfId="1" priority="2" operator="lessThan">
      <formula>0.5</formula>
    </cfRule>
    <cfRule type="cellIs" dxfId="0" priority="3" operator="greaterThan">
      <formula>1</formula>
    </cfRule>
  </conditionalFormatting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Summary</vt:lpstr>
      <vt:lpstr>Names</vt:lpstr>
      <vt:lpstr>Template</vt:lpstr>
      <vt:lpstr>Aaron_Spencer Sample 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Abhijeet Wagh</dc:creator>
  <cp:lastModifiedBy>Abhijeet Wagh</cp:lastModifiedBy>
  <dcterms:created xsi:type="dcterms:W3CDTF">2023-03-28T15:01:53Z</dcterms:created>
  <dcterms:modified xsi:type="dcterms:W3CDTF">2024-10-28T12:14:28Z</dcterms:modified>
</cp:coreProperties>
</file>